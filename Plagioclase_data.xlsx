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G" sheetId="1" state="visible" r:id="rId3"/>
    <sheet name="Count" sheetId="2" state="visible" r:id="rId4"/>
    <sheet name="STD" sheetId="3" state="visible" r:id="rId5"/>
    <sheet name="Heading_Lege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<sst xmlns="http://schemas.openxmlformats.org/spreadsheetml/2006/main" count="1466" uniqueCount="538">
  <si>
    <t xml:space="preserve">Sample_ID</t>
  </si>
  <si>
    <t xml:space="preserve">Type</t>
  </si>
  <si>
    <t xml:space="preserve">Eruption</t>
  </si>
  <si>
    <t xml:space="preserve">Sample</t>
  </si>
  <si>
    <t xml:space="preserve">Session</t>
  </si>
  <si>
    <t xml:space="preserve">Number</t>
  </si>
  <si>
    <t xml:space="preserve">Date</t>
  </si>
  <si>
    <t xml:space="preserve">SiO2_Plg</t>
  </si>
  <si>
    <t xml:space="preserve">TiO2_Plg</t>
  </si>
  <si>
    <t xml:space="preserve">Al2O3_Plg</t>
  </si>
  <si>
    <t xml:space="preserve">FeOt_Plg</t>
  </si>
  <si>
    <t xml:space="preserve">MgO_Plg</t>
  </si>
  <si>
    <t xml:space="preserve">CaO_Plg</t>
  </si>
  <si>
    <t xml:space="preserve">Na2O_Plg</t>
  </si>
  <si>
    <t xml:space="preserve">K2O_Plg</t>
  </si>
  <si>
    <t xml:space="preserve">Total</t>
  </si>
  <si>
    <t xml:space="preserve">O_sum</t>
  </si>
  <si>
    <t xml:space="preserve">Si</t>
  </si>
  <si>
    <t xml:space="preserve">Ti</t>
  </si>
  <si>
    <t xml:space="preserve">Al</t>
  </si>
  <si>
    <t xml:space="preserve">Fe</t>
  </si>
  <si>
    <t xml:space="preserve">Mg</t>
  </si>
  <si>
    <t xml:space="preserve">Ca</t>
  </si>
  <si>
    <t xml:space="preserve">Na</t>
  </si>
  <si>
    <t xml:space="preserve">K</t>
  </si>
  <si>
    <t xml:space="preserve">An_num</t>
  </si>
  <si>
    <t xml:space="preserve">Ab_num</t>
  </si>
  <si>
    <t xml:space="preserve">Or_num</t>
  </si>
  <si>
    <t xml:space="preserve">Fe15-07_Glom1_2</t>
  </si>
  <si>
    <t xml:space="preserve">Glomerocryst</t>
  </si>
  <si>
    <t xml:space="preserve">Fe15_07</t>
  </si>
  <si>
    <t xml:space="preserve">LW_250225_plg</t>
  </si>
  <si>
    <t xml:space="preserve">Feb 26 15:56 2025</t>
  </si>
  <si>
    <t xml:space="preserve">Fe15-07_Glom_4_1</t>
  </si>
  <si>
    <t xml:space="preserve">Feb 26 16:12 2025</t>
  </si>
  <si>
    <t xml:space="preserve">Fe15-07_Glom_4_2</t>
  </si>
  <si>
    <t xml:space="preserve">Feb 26 16:17 2025</t>
  </si>
  <si>
    <t xml:space="preserve">Fe15-07_Glom_4_3</t>
  </si>
  <si>
    <t xml:space="preserve">Feb 26 16:23 2025</t>
  </si>
  <si>
    <t xml:space="preserve">Fe15-07_Glom_4_4</t>
  </si>
  <si>
    <t xml:space="preserve">Feb 26 16:28 2025</t>
  </si>
  <si>
    <t xml:space="preserve">Fe15-07_Glom_4_5</t>
  </si>
  <si>
    <t xml:space="preserve">Feb 26 16:33 2025</t>
  </si>
  <si>
    <t xml:space="preserve">Fe15-07_Plg_10_1</t>
  </si>
  <si>
    <t xml:space="preserve">Phenocryst</t>
  </si>
  <si>
    <t xml:space="preserve">Feb 26 16:38 2025</t>
  </si>
  <si>
    <t xml:space="preserve">Fe15-07_Plg_10_2</t>
  </si>
  <si>
    <t xml:space="preserve">Feb 26 16:43 2025</t>
  </si>
  <si>
    <t xml:space="preserve">Fe15-07_Plg_10_3</t>
  </si>
  <si>
    <t xml:space="preserve">Feb 26 16:49 2025</t>
  </si>
  <si>
    <t xml:space="preserve">Fe15-07_Plg_10_4</t>
  </si>
  <si>
    <t xml:space="preserve">Feb 26 16:54 2025</t>
  </si>
  <si>
    <t xml:space="preserve">Fe15-07_Plg_30_2</t>
  </si>
  <si>
    <t xml:space="preserve">Feb 26 17:47 2025</t>
  </si>
  <si>
    <t xml:space="preserve">Fe15-07_Glom_14_2</t>
  </si>
  <si>
    <t xml:space="preserve">Feb 26 18:08 2025</t>
  </si>
  <si>
    <t xml:space="preserve">Fe15-07_Glom_14_3</t>
  </si>
  <si>
    <t xml:space="preserve">Feb 26 18:13 2025</t>
  </si>
  <si>
    <t xml:space="preserve">Fe15-07_Glom_14_4</t>
  </si>
  <si>
    <t xml:space="preserve">Feb 26 18:18 2025</t>
  </si>
  <si>
    <t xml:space="preserve">Fe15-14_Glom_26_1</t>
  </si>
  <si>
    <t xml:space="preserve">Fe15_14</t>
  </si>
  <si>
    <t xml:space="preserve">Feb 26 08:40 2025</t>
  </si>
  <si>
    <t xml:space="preserve">Fe15-14_Glom_26_2</t>
  </si>
  <si>
    <t xml:space="preserve">Feb 26 08:45 2025</t>
  </si>
  <si>
    <t xml:space="preserve">Fe15-14_Glom_26_3</t>
  </si>
  <si>
    <t xml:space="preserve">Feb 26 08:51 2025</t>
  </si>
  <si>
    <t xml:space="preserve">Fe15-14_Glom_26_4</t>
  </si>
  <si>
    <t xml:space="preserve">Feb 26 08:56 2025</t>
  </si>
  <si>
    <t xml:space="preserve">Fe15-14_Glom_26_5</t>
  </si>
  <si>
    <t xml:space="preserve">Feb 26 09:01 2025</t>
  </si>
  <si>
    <t xml:space="preserve">Fe15-14_Plg_10_1</t>
  </si>
  <si>
    <t xml:space="preserve">Feb 26 09:06 2025</t>
  </si>
  <si>
    <t xml:space="preserve">Fe15-14_Plg_10_2</t>
  </si>
  <si>
    <t xml:space="preserve">Feb 26 09:12 2025</t>
  </si>
  <si>
    <t xml:space="preserve">Fe15-14_Plg_10_3</t>
  </si>
  <si>
    <t xml:space="preserve">Feb 26 09:17 2025</t>
  </si>
  <si>
    <t xml:space="preserve">Fe15-14_Plg_10_4</t>
  </si>
  <si>
    <t xml:space="preserve">Feb 26 09:22 2025</t>
  </si>
  <si>
    <t xml:space="preserve">Fe15-14_Glom_27_1</t>
  </si>
  <si>
    <t xml:space="preserve">Feb 26 09:27 2025</t>
  </si>
  <si>
    <t xml:space="preserve">Fe15-14_Glom_27_2</t>
  </si>
  <si>
    <t xml:space="preserve">Feb 26 09:33 2025</t>
  </si>
  <si>
    <t xml:space="preserve">Fe15-14_Glom_27_3</t>
  </si>
  <si>
    <t xml:space="preserve">Feb 26 09:38 2025</t>
  </si>
  <si>
    <t xml:space="preserve">Fe15-14_Glom_27_4</t>
  </si>
  <si>
    <t xml:space="preserve">Feb 26 09:43 2025</t>
  </si>
  <si>
    <t xml:space="preserve">Fe15-14_Glom_27_5</t>
  </si>
  <si>
    <t xml:space="preserve">Feb 26 09:48 2025</t>
  </si>
  <si>
    <t xml:space="preserve">Fe15-14_Glom_29_1</t>
  </si>
  <si>
    <t xml:space="preserve">Feb 26 09:53 2025</t>
  </si>
  <si>
    <t xml:space="preserve">Fe15-14_Glom_29_2</t>
  </si>
  <si>
    <t xml:space="preserve">Feb 26 09:59 2025</t>
  </si>
  <si>
    <t xml:space="preserve">Fe15-14_Glom_29_3</t>
  </si>
  <si>
    <t xml:space="preserve">Feb 26 10:04 2025</t>
  </si>
  <si>
    <t xml:space="preserve">Fe15-14_Glom_29_4</t>
  </si>
  <si>
    <t xml:space="preserve">Feb 26 10:09 2025</t>
  </si>
  <si>
    <t xml:space="preserve">Fe15-14_Glom_29_5</t>
  </si>
  <si>
    <t xml:space="preserve">Feb 26 10:15 2025</t>
  </si>
  <si>
    <t xml:space="preserve">Fe15-14_Glom_30_1</t>
  </si>
  <si>
    <t xml:space="preserve">Feb 26 10:20 2025</t>
  </si>
  <si>
    <t xml:space="preserve">Fe15-14_Glom_30_2</t>
  </si>
  <si>
    <t xml:space="preserve">Feb 26 10:25 2025</t>
  </si>
  <si>
    <t xml:space="preserve">Fe15-14_Glom_30_3</t>
  </si>
  <si>
    <t xml:space="preserve">Feb 26 10:30 2025</t>
  </si>
  <si>
    <t xml:space="preserve">Fe15-14_Glom_30_4</t>
  </si>
  <si>
    <t xml:space="preserve">Feb 26 10:35 2025</t>
  </si>
  <si>
    <t xml:space="preserve">Fe15-14_Glom_30_5</t>
  </si>
  <si>
    <t xml:space="preserve">Feb 26 10:41 2025</t>
  </si>
  <si>
    <t xml:space="preserve">Fe15-14_Plg_15_1</t>
  </si>
  <si>
    <t xml:space="preserve">Feb 26 10:46 2025</t>
  </si>
  <si>
    <t xml:space="preserve">Fe15-14_Plg_15_2</t>
  </si>
  <si>
    <t xml:space="preserve">Feb 26 10:51 2025</t>
  </si>
  <si>
    <t xml:space="preserve">Fe15-14_Plg_15_3</t>
  </si>
  <si>
    <t xml:space="preserve">Feb 26 10:56 2025</t>
  </si>
  <si>
    <t xml:space="preserve">Fe15-14_Plg_15_4</t>
  </si>
  <si>
    <t xml:space="preserve">Feb 26 11:02 2025</t>
  </si>
  <si>
    <t xml:space="preserve">Fe15-14_Plg_17_1</t>
  </si>
  <si>
    <t xml:space="preserve">Feb 26 11:07 2025</t>
  </si>
  <si>
    <t xml:space="preserve">Fe15-14_Plg_17_4</t>
  </si>
  <si>
    <t xml:space="preserve">Feb 26 11:23 2025</t>
  </si>
  <si>
    <t xml:space="preserve">Fe15-14_Plg_16_1</t>
  </si>
  <si>
    <t xml:space="preserve">Feb 26 11:28 2025</t>
  </si>
  <si>
    <t xml:space="preserve">Fe15-14_Plg_16_2</t>
  </si>
  <si>
    <t xml:space="preserve">Feb 26 11:33 2025</t>
  </si>
  <si>
    <t xml:space="preserve">Fe15-14_Plg_16_3</t>
  </si>
  <si>
    <t xml:space="preserve">Feb 26 11:39 2025</t>
  </si>
  <si>
    <t xml:space="preserve">Fe15-14_Plg_16_4</t>
  </si>
  <si>
    <t xml:space="preserve">Feb 26 11:44 2025</t>
  </si>
  <si>
    <t xml:space="preserve">Fe15-14_Plg_16_5</t>
  </si>
  <si>
    <t xml:space="preserve">Feb 26 11:49 2025</t>
  </si>
  <si>
    <t xml:space="preserve">Fe15-14_Plg_27_1</t>
  </si>
  <si>
    <t xml:space="preserve">Feb 26 11:54 2025</t>
  </si>
  <si>
    <t xml:space="preserve">Fe15-14_Plg_27_2</t>
  </si>
  <si>
    <t xml:space="preserve">Feb 26 11:59 2025</t>
  </si>
  <si>
    <t xml:space="preserve">Fe15-14_Plg_27_3</t>
  </si>
  <si>
    <t xml:space="preserve">Feb 26 12:05 2025</t>
  </si>
  <si>
    <t xml:space="preserve">Fe15-14_Plg_27_4</t>
  </si>
  <si>
    <t xml:space="preserve">Feb 26 12:10 2025</t>
  </si>
  <si>
    <t xml:space="preserve">Fe15-14_Glom_1_1</t>
  </si>
  <si>
    <t xml:space="preserve">Feb 26 12:15 2025</t>
  </si>
  <si>
    <t xml:space="preserve">Fe15-14_Glom_1_2</t>
  </si>
  <si>
    <t xml:space="preserve">Feb 26 12:20 2025</t>
  </si>
  <si>
    <t xml:space="preserve">Fe15-14_Glom_1_3</t>
  </si>
  <si>
    <t xml:space="preserve">Feb 26 12:26 2025</t>
  </si>
  <si>
    <t xml:space="preserve">Fe15-14_Glom_1_4</t>
  </si>
  <si>
    <t xml:space="preserve">Feb 26 12:31 2025</t>
  </si>
  <si>
    <t xml:space="preserve">Fe15-14_Glom_5_2</t>
  </si>
  <si>
    <t xml:space="preserve">Feb 26 12:41 2025</t>
  </si>
  <si>
    <t xml:space="preserve">Fe15-14_Glom_5_3</t>
  </si>
  <si>
    <t xml:space="preserve">Feb 26 12:47 2025</t>
  </si>
  <si>
    <t xml:space="preserve">Fe15-14_Glom_5_4</t>
  </si>
  <si>
    <t xml:space="preserve">Feb 26 12:52 2025</t>
  </si>
  <si>
    <t xml:space="preserve">Fe15-14_Glom_5_5</t>
  </si>
  <si>
    <t xml:space="preserve">Feb 26 12:57 2025</t>
  </si>
  <si>
    <t xml:space="preserve">Fe15-14_Plg_19_1</t>
  </si>
  <si>
    <t xml:space="preserve">Feb 26 13:02 2025</t>
  </si>
  <si>
    <t xml:space="preserve">Fe15-14_Plg_19_2</t>
  </si>
  <si>
    <t xml:space="preserve">Feb 26 13:08 2025</t>
  </si>
  <si>
    <t xml:space="preserve">Fe15-14_Plg_19_3</t>
  </si>
  <si>
    <t xml:space="preserve">Feb 26 13:13 2025</t>
  </si>
  <si>
    <t xml:space="preserve">Fe15-14_Glom_19_1</t>
  </si>
  <si>
    <t xml:space="preserve">Feb 26 13:23 2025</t>
  </si>
  <si>
    <t xml:space="preserve">Fe15-14_Glom_19_2</t>
  </si>
  <si>
    <t xml:space="preserve">Feb 26 13:29 2025</t>
  </si>
  <si>
    <t xml:space="preserve">Fe15-14_Plg_21_1</t>
  </si>
  <si>
    <t xml:space="preserve">Feb 26 13:34 2025</t>
  </si>
  <si>
    <t xml:space="preserve">Fe15-14_Plg_21_2</t>
  </si>
  <si>
    <t xml:space="preserve">Feb 26 13:39 2025</t>
  </si>
  <si>
    <t xml:space="preserve">Fe15-14_Plg_21_3</t>
  </si>
  <si>
    <t xml:space="preserve">Feb 26 13:45 2025</t>
  </si>
  <si>
    <t xml:space="preserve">Fe15-14_Plg_21_4</t>
  </si>
  <si>
    <t xml:space="preserve">Feb 26 13:50 2025</t>
  </si>
  <si>
    <t xml:space="preserve">Fe15-14_Glom_15_2</t>
  </si>
  <si>
    <t xml:space="preserve">Feb 26 14:00 2025</t>
  </si>
  <si>
    <t xml:space="preserve">Fe15-14_Glom_15_3</t>
  </si>
  <si>
    <t xml:space="preserve">Feb 26 14:06 2025</t>
  </si>
  <si>
    <t xml:space="preserve">Fe15-14_Glom_15_4</t>
  </si>
  <si>
    <t xml:space="preserve">Feb 26 14:11 2025</t>
  </si>
  <si>
    <t xml:space="preserve">Fe15-14_Glom_15_5</t>
  </si>
  <si>
    <t xml:space="preserve">Feb 26 14:16 2025</t>
  </si>
  <si>
    <t xml:space="preserve">Fe15-14_Glom_23_1</t>
  </si>
  <si>
    <t xml:space="preserve">Feb 26 14:21 2025</t>
  </si>
  <si>
    <t xml:space="preserve">Fe15-14_Glom_23_2</t>
  </si>
  <si>
    <t xml:space="preserve">Feb 26 14:27 2025</t>
  </si>
  <si>
    <t xml:space="preserve">Fe15-14_Glom_23_3</t>
  </si>
  <si>
    <t xml:space="preserve">Feb 26 14:32 2025</t>
  </si>
  <si>
    <t xml:space="preserve">Fe15-14_Glom_23_4</t>
  </si>
  <si>
    <t xml:space="preserve">Feb 26 14:37 2025</t>
  </si>
  <si>
    <t xml:space="preserve">Fe15-14_Glom_7_1</t>
  </si>
  <si>
    <t xml:space="preserve">Feb 26 14:42 2025</t>
  </si>
  <si>
    <t xml:space="preserve">Fe15-14_Glom_7_3</t>
  </si>
  <si>
    <t xml:space="preserve">Feb 26 14:53 2025</t>
  </si>
  <si>
    <t xml:space="preserve">Fe15-14_Glom_7_4</t>
  </si>
  <si>
    <t xml:space="preserve">Feb 26 14:58 2025</t>
  </si>
  <si>
    <t xml:space="preserve">Fe15-14_Glom_7_5</t>
  </si>
  <si>
    <t xml:space="preserve">Feb 26 15:03 2025</t>
  </si>
  <si>
    <t xml:space="preserve">Fe15-14_Plg_22_1</t>
  </si>
  <si>
    <t xml:space="preserve">Feb 26 15:09 2025</t>
  </si>
  <si>
    <t xml:space="preserve">Fe15-14_Plg_22_3</t>
  </si>
  <si>
    <t xml:space="preserve">Feb 26 15:19 2025</t>
  </si>
  <si>
    <t xml:space="preserve">Fe15-14_Plg_22_4</t>
  </si>
  <si>
    <t xml:space="preserve">Feb 26 15:24 2025</t>
  </si>
  <si>
    <t xml:space="preserve">Fe15-14_Plg_29_1</t>
  </si>
  <si>
    <t xml:space="preserve">Feb 26 15:30 2025</t>
  </si>
  <si>
    <t xml:space="preserve">Fe15-14_Plg_29_2</t>
  </si>
  <si>
    <t xml:space="preserve">Feb 26 15:35 2025</t>
  </si>
  <si>
    <t xml:space="preserve">Fe15-14_Plg_29_3</t>
  </si>
  <si>
    <t xml:space="preserve">Feb 26 15:40 2025</t>
  </si>
  <si>
    <t xml:space="preserve">Fe15-16_Glom_5_1</t>
  </si>
  <si>
    <t xml:space="preserve">Fe15_16</t>
  </si>
  <si>
    <t xml:space="preserve">Feb 26 01:18 2025</t>
  </si>
  <si>
    <t xml:space="preserve">Fe15-16_Glom_5_2</t>
  </si>
  <si>
    <t xml:space="preserve">Feb 26 01:23 2025</t>
  </si>
  <si>
    <t xml:space="preserve">Fe15-16_Glom_5_3</t>
  </si>
  <si>
    <t xml:space="preserve">Feb 26 01:29 2025</t>
  </si>
  <si>
    <t xml:space="preserve">Fe15-16_Glom_5_6</t>
  </si>
  <si>
    <t xml:space="preserve">Feb 26 01:39 2025</t>
  </si>
  <si>
    <t xml:space="preserve">Fe15-16_Glom_1_3</t>
  </si>
  <si>
    <t xml:space="preserve">Feb 26 01:55 2025</t>
  </si>
  <si>
    <t xml:space="preserve">Fe15-16_Glom_8_1</t>
  </si>
  <si>
    <t xml:space="preserve">Feb 26 02:32 2025</t>
  </si>
  <si>
    <t xml:space="preserve">Fe15-16_Glom_8_2</t>
  </si>
  <si>
    <t xml:space="preserve">Feb 26 02:37 2025</t>
  </si>
  <si>
    <t xml:space="preserve">Fe15-16_Glom_8_3</t>
  </si>
  <si>
    <t xml:space="preserve">Feb 26 02:42 2025</t>
  </si>
  <si>
    <t xml:space="preserve">Fe15-16_Glom_8_4</t>
  </si>
  <si>
    <t xml:space="preserve">Feb 26 02:48 2025</t>
  </si>
  <si>
    <t xml:space="preserve">Fe15-16_Glom_8_5</t>
  </si>
  <si>
    <t xml:space="preserve">Feb 26 02:53 2025</t>
  </si>
  <si>
    <t xml:space="preserve">Fe15-16_Glom_8_6</t>
  </si>
  <si>
    <t xml:space="preserve">Feb 26 02:58 2025</t>
  </si>
  <si>
    <t xml:space="preserve">Fe15-16_Glom_12_1</t>
  </si>
  <si>
    <t xml:space="preserve">Feb 26 03:03 2025</t>
  </si>
  <si>
    <t xml:space="preserve">Fe15-16_Glom_12_2</t>
  </si>
  <si>
    <t xml:space="preserve">Feb 26 03:09 2025</t>
  </si>
  <si>
    <t xml:space="preserve">Fe15-16_Glom_12_3</t>
  </si>
  <si>
    <t xml:space="preserve">Feb 26 03:14 2025</t>
  </si>
  <si>
    <t xml:space="preserve">Fe15-16_Glom_12_4</t>
  </si>
  <si>
    <t xml:space="preserve">Feb 26 03:19 2025</t>
  </si>
  <si>
    <t xml:space="preserve">Fe15-16_Glom_12_5</t>
  </si>
  <si>
    <t xml:space="preserve">Feb 26 03:24 2025</t>
  </si>
  <si>
    <t xml:space="preserve">Fe15-16_Plg_28_1</t>
  </si>
  <si>
    <t xml:space="preserve">Feb 26 03:30 2025</t>
  </si>
  <si>
    <t xml:space="preserve">Fe15-16_Plg_28_2</t>
  </si>
  <si>
    <t xml:space="preserve">Feb 26 03:35 2025</t>
  </si>
  <si>
    <t xml:space="preserve">Fe15-16_Plg_28_3</t>
  </si>
  <si>
    <t xml:space="preserve">Feb 26 03:40 2025</t>
  </si>
  <si>
    <t xml:space="preserve">Fe15-16_Plg_28_4</t>
  </si>
  <si>
    <t xml:space="preserve">Feb 26 03:45 2025</t>
  </si>
  <si>
    <t xml:space="preserve">Fe15-16_Glom_15_1</t>
  </si>
  <si>
    <t xml:space="preserve">Feb 26 03:51 2025</t>
  </si>
  <si>
    <t xml:space="preserve">Fe15-16_Glom_15_2</t>
  </si>
  <si>
    <t xml:space="preserve">Feb 26 03:56 2025</t>
  </si>
  <si>
    <t xml:space="preserve">Fe15-16_Glom_15_3</t>
  </si>
  <si>
    <t xml:space="preserve">Feb 26 04:01 2025</t>
  </si>
  <si>
    <t xml:space="preserve">Fe15-16_Glom_15_4</t>
  </si>
  <si>
    <t xml:space="preserve">Feb 26 04:06 2025</t>
  </si>
  <si>
    <t xml:space="preserve">Fe15-16_Glom_15_5</t>
  </si>
  <si>
    <t xml:space="preserve">Feb 26 04:12 2025</t>
  </si>
  <si>
    <t xml:space="preserve">Fe15-16_Glom_16_1</t>
  </si>
  <si>
    <t xml:space="preserve">Feb 26 04:17 2025</t>
  </si>
  <si>
    <t xml:space="preserve">Fe15-16_Glom_16_2</t>
  </si>
  <si>
    <t xml:space="preserve">Feb 26 04:22 2025</t>
  </si>
  <si>
    <t xml:space="preserve">Fe15-16_Glom_16_3</t>
  </si>
  <si>
    <t xml:space="preserve">Feb 26 04:27 2025</t>
  </si>
  <si>
    <t xml:space="preserve">Fe15-16_Glom_16_4</t>
  </si>
  <si>
    <t xml:space="preserve">Feb 26 04:33 2025</t>
  </si>
  <si>
    <t xml:space="preserve">Fe15-16_Glom_16_5</t>
  </si>
  <si>
    <t xml:space="preserve">Feb 26 04:38 2025</t>
  </si>
  <si>
    <t xml:space="preserve">Fe15-16_Plg_26_1</t>
  </si>
  <si>
    <t xml:space="preserve">Feb 26 04:43 2025</t>
  </si>
  <si>
    <t xml:space="preserve">Fe15-16_Plg_26_2</t>
  </si>
  <si>
    <t xml:space="preserve">Feb 26 04:48 2025</t>
  </si>
  <si>
    <t xml:space="preserve">Fe15-16_Plg_26_3</t>
  </si>
  <si>
    <t xml:space="preserve">Feb 26 04:54 2025</t>
  </si>
  <si>
    <t xml:space="preserve">Fe15-16_Plg_27_1</t>
  </si>
  <si>
    <t xml:space="preserve">Feb 26 04:59 2025</t>
  </si>
  <si>
    <t xml:space="preserve">Fe15-16_Plg_27_2</t>
  </si>
  <si>
    <t xml:space="preserve">Feb 26 05:04 2025</t>
  </si>
  <si>
    <t xml:space="preserve">Fe15-16_Plg_27_3</t>
  </si>
  <si>
    <t xml:space="preserve">Feb 26 05:09 2025</t>
  </si>
  <si>
    <t xml:space="preserve">Fe15-16_Plg_27_4</t>
  </si>
  <si>
    <t xml:space="preserve">Feb 26 05:15 2025</t>
  </si>
  <si>
    <t xml:space="preserve">Fe15-16_Plg_24_1</t>
  </si>
  <si>
    <t xml:space="preserve">Feb 26 05:20 2025</t>
  </si>
  <si>
    <t xml:space="preserve">Fe15-16_Plg_24_2</t>
  </si>
  <si>
    <t xml:space="preserve">Feb 26 05:25 2025</t>
  </si>
  <si>
    <t xml:space="preserve">Fe15-16_Plg_24_3</t>
  </si>
  <si>
    <t xml:space="preserve">Feb 26 05:30 2025</t>
  </si>
  <si>
    <t xml:space="preserve">Fe15-16_Plg_24_4</t>
  </si>
  <si>
    <t xml:space="preserve">Feb 26 05:36 2025</t>
  </si>
  <si>
    <t xml:space="preserve">Fe15-16_Plg_24_5</t>
  </si>
  <si>
    <t xml:space="preserve">Feb 26 05:41 2025</t>
  </si>
  <si>
    <t xml:space="preserve">Fe15-16_Plg_21_1</t>
  </si>
  <si>
    <t xml:space="preserve">Feb 26 05:46 2025</t>
  </si>
  <si>
    <t xml:space="preserve">Fe15-16_Plg_21_2</t>
  </si>
  <si>
    <t xml:space="preserve">Feb 26 05:51 2025</t>
  </si>
  <si>
    <t xml:space="preserve">Fe15-16_Plg_21_3</t>
  </si>
  <si>
    <t xml:space="preserve">Feb 26 05:57 2025</t>
  </si>
  <si>
    <t xml:space="preserve">Fe15-16_Plg_21_4</t>
  </si>
  <si>
    <t xml:space="preserve">Feb 26 06:02 2025</t>
  </si>
  <si>
    <t xml:space="preserve">Fe15-16_Glom_23_1</t>
  </si>
  <si>
    <t xml:space="preserve">Feb 26 06:44 2025</t>
  </si>
  <si>
    <t xml:space="preserve">Fe15-16_Glom_23_3</t>
  </si>
  <si>
    <t xml:space="preserve">Feb 26 06:55 2025</t>
  </si>
  <si>
    <t xml:space="preserve">Label</t>
  </si>
  <si>
    <t xml:space="preserve">SiO2_Err</t>
  </si>
  <si>
    <t xml:space="preserve">TiO2_Err</t>
  </si>
  <si>
    <t xml:space="preserve">Al2O3_Err</t>
  </si>
  <si>
    <t xml:space="preserve">FeOt_Err</t>
  </si>
  <si>
    <t xml:space="preserve">MgO_Err</t>
  </si>
  <si>
    <t xml:space="preserve">CaO_Err</t>
  </si>
  <si>
    <t xml:space="preserve">Na2O_Err</t>
  </si>
  <si>
    <t xml:space="preserve">K2O_Err</t>
  </si>
  <si>
    <t xml:space="preserve">Fe14-07_Glom1_2</t>
  </si>
  <si>
    <t xml:space="preserve">Fe14-07_Glom_4_1</t>
  </si>
  <si>
    <t xml:space="preserve">Fe14-07_Glom_4_2</t>
  </si>
  <si>
    <t xml:space="preserve">Fe14-07_Glom_4_3</t>
  </si>
  <si>
    <t xml:space="preserve">Fe14-07_Glom_4_4</t>
  </si>
  <si>
    <t xml:space="preserve">Fe14-07_Glom_4_5</t>
  </si>
  <si>
    <t xml:space="preserve">Fe14-07_Plg_10_1</t>
  </si>
  <si>
    <t xml:space="preserve">Fe14-07_Plg_10_2</t>
  </si>
  <si>
    <t xml:space="preserve">Fe14-07_Plg_10_3</t>
  </si>
  <si>
    <t xml:space="preserve">Fe14-07_Plg_10_4</t>
  </si>
  <si>
    <t xml:space="preserve">Fe14-07_Plg_30_2</t>
  </si>
  <si>
    <t xml:space="preserve">Fe14-07_Glom_14_2</t>
  </si>
  <si>
    <t xml:space="preserve">Fe14-07_Glom_14_3</t>
  </si>
  <si>
    <t xml:space="preserve">Fe14-07_Glom_14_4</t>
  </si>
  <si>
    <t xml:space="preserve">Fe14-14_Glom_26_1</t>
  </si>
  <si>
    <t xml:space="preserve">Fe14-14_Glom_26_2</t>
  </si>
  <si>
    <t xml:space="preserve">Fe14-14_Glom_26_3</t>
  </si>
  <si>
    <t xml:space="preserve">Fe14-14_Glom_26_4</t>
  </si>
  <si>
    <t xml:space="preserve">Fe14-14_Glom_26_5</t>
  </si>
  <si>
    <t xml:space="preserve">Fe14-14_Plg_10_1</t>
  </si>
  <si>
    <t xml:space="preserve">Fe14-14_Plg_10_2</t>
  </si>
  <si>
    <t xml:space="preserve">Fe14-14_Plg_10_3</t>
  </si>
  <si>
    <t xml:space="preserve">Fe14-14_Plg_10_4</t>
  </si>
  <si>
    <t xml:space="preserve">Fe14-14_Glom_27_1</t>
  </si>
  <si>
    <t xml:space="preserve">Fe14-14_Glom_27_2</t>
  </si>
  <si>
    <t xml:space="preserve">Fe14-14_Glom_27_3</t>
  </si>
  <si>
    <t xml:space="preserve">Fe14-14_Glom_27_4</t>
  </si>
  <si>
    <t xml:space="preserve">Fe14-14_Glom_27_5</t>
  </si>
  <si>
    <t xml:space="preserve">Fe14-14_Glom_29_1</t>
  </si>
  <si>
    <t xml:space="preserve">Fe14-14_Glom_29_2</t>
  </si>
  <si>
    <t xml:space="preserve">Fe14-14_Glom_29_3</t>
  </si>
  <si>
    <t xml:space="preserve">Fe14-14_Glom_29_4</t>
  </si>
  <si>
    <t xml:space="preserve">Fe14-14_Glom_29_5</t>
  </si>
  <si>
    <t xml:space="preserve">Fe14-14_Glom_30_1</t>
  </si>
  <si>
    <t xml:space="preserve">Fe14-14_Glom_30_2</t>
  </si>
  <si>
    <t xml:space="preserve">Fe14-14_Glom_30_3</t>
  </si>
  <si>
    <t xml:space="preserve">Fe14-14_Glom_30_4</t>
  </si>
  <si>
    <t xml:space="preserve">Fe14-14_Glom_30_5</t>
  </si>
  <si>
    <t xml:space="preserve">Fe14-14_Plg_15_1</t>
  </si>
  <si>
    <t xml:space="preserve">Fe14-14_Plg_15_2</t>
  </si>
  <si>
    <t xml:space="preserve">Fe14-14_Plg_15_3</t>
  </si>
  <si>
    <t xml:space="preserve">Fe14-14_Plg_15_4</t>
  </si>
  <si>
    <t xml:space="preserve">Fe14-14_Plg_17_1</t>
  </si>
  <si>
    <t xml:space="preserve">Fe14-14_Plg_17_4</t>
  </si>
  <si>
    <t xml:space="preserve">Fe14-14_Plg_16_1</t>
  </si>
  <si>
    <t xml:space="preserve">Fe14-14_Plg_16_2</t>
  </si>
  <si>
    <t xml:space="preserve">Fe14-14_Plg_16_3</t>
  </si>
  <si>
    <t xml:space="preserve">Fe14-14_Plg_16_4</t>
  </si>
  <si>
    <t xml:space="preserve">Fe14-14_Plg_16_5</t>
  </si>
  <si>
    <t xml:space="preserve">Fe14-14_Plg_27_1</t>
  </si>
  <si>
    <t xml:space="preserve">Fe14-14_Plg_27_2</t>
  </si>
  <si>
    <t xml:space="preserve">Fe14-14_Plg_27_3</t>
  </si>
  <si>
    <t xml:space="preserve">Fe14-14_Plg_27_4</t>
  </si>
  <si>
    <t xml:space="preserve">Fe14-14_Glom_1_1</t>
  </si>
  <si>
    <t xml:space="preserve">Fe14-14_Glom_1_2</t>
  </si>
  <si>
    <t xml:space="preserve">Fe14-14_Glom_1_3</t>
  </si>
  <si>
    <t xml:space="preserve">Fe14-14_Glom_1_4</t>
  </si>
  <si>
    <t xml:space="preserve">Fe14-14_Glom_5_2</t>
  </si>
  <si>
    <t xml:space="preserve">Fe14-14_Glom_5_3</t>
  </si>
  <si>
    <t xml:space="preserve">Fe14-14_Glom_5_4</t>
  </si>
  <si>
    <t xml:space="preserve">Fe14-14_Glom_5_5</t>
  </si>
  <si>
    <t xml:space="preserve">Fe14-14_Plg_19_1</t>
  </si>
  <si>
    <t xml:space="preserve">Fe14-14_Plg_19_2</t>
  </si>
  <si>
    <t xml:space="preserve">Fe14-14_Plg_19_3</t>
  </si>
  <si>
    <t xml:space="preserve">Fe14-14_Glom_19_1</t>
  </si>
  <si>
    <t xml:space="preserve">Fe14-14_Glom_19_2</t>
  </si>
  <si>
    <t xml:space="preserve">Fe14-14_Plg_21_1</t>
  </si>
  <si>
    <t xml:space="preserve">Fe14-14_Plg_21_2</t>
  </si>
  <si>
    <t xml:space="preserve">Fe14-14_Plg_21_3</t>
  </si>
  <si>
    <t xml:space="preserve">Fe14-14_Plg_21_4</t>
  </si>
  <si>
    <t xml:space="preserve">Fe14-14_Glom_15_2</t>
  </si>
  <si>
    <t xml:space="preserve">Fe14-14_Glom_15_3</t>
  </si>
  <si>
    <t xml:space="preserve">Fe14-14_Glom_15_4</t>
  </si>
  <si>
    <t xml:space="preserve">Fe14-14_Glom_15_5</t>
  </si>
  <si>
    <t xml:space="preserve">Fe14-14_Glom_23_1</t>
  </si>
  <si>
    <t xml:space="preserve">Fe14-14_Glom_23_2</t>
  </si>
  <si>
    <t xml:space="preserve">Fe14-14_Glom_23_3</t>
  </si>
  <si>
    <t xml:space="preserve">Fe14-14_Glom_23_4</t>
  </si>
  <si>
    <t xml:space="preserve">Fe14-14_Glom_7_1</t>
  </si>
  <si>
    <t xml:space="preserve">Fe14-14_Glom_7_3</t>
  </si>
  <si>
    <t xml:space="preserve">Fe14-14_Glom_7_4</t>
  </si>
  <si>
    <t xml:space="preserve">Fe14-14_Glom_7_5</t>
  </si>
  <si>
    <t xml:space="preserve">Fe14-14_Plg_22_1</t>
  </si>
  <si>
    <t xml:space="preserve">Fe14-14_Plg_22_3</t>
  </si>
  <si>
    <t xml:space="preserve">Fe14-14_Plg_22_4</t>
  </si>
  <si>
    <t xml:space="preserve">Fe14-14_Plg_29_1</t>
  </si>
  <si>
    <t xml:space="preserve">Fe14-14_Plg_29_2</t>
  </si>
  <si>
    <t xml:space="preserve">Fe14-14_Plg_29_3</t>
  </si>
  <si>
    <t xml:space="preserve">Fe14-16_Glom_5_1</t>
  </si>
  <si>
    <t xml:space="preserve">Fe14-16_Glom_5_2</t>
  </si>
  <si>
    <t xml:space="preserve">Fe14-16_Glom_5_3</t>
  </si>
  <si>
    <t xml:space="preserve">Fe14-16_Glom_5_6</t>
  </si>
  <si>
    <t xml:space="preserve">Fe14-16_Glom_1_3</t>
  </si>
  <si>
    <t xml:space="preserve">Fe14-16_Glom_8_1</t>
  </si>
  <si>
    <t xml:space="preserve">Fe14-16_Glom_8_2</t>
  </si>
  <si>
    <t xml:space="preserve">Fe14-16_Glom_8_3</t>
  </si>
  <si>
    <t xml:space="preserve">Fe14-16_Glom_8_4</t>
  </si>
  <si>
    <t xml:space="preserve">Fe14-16_Glom_8_5</t>
  </si>
  <si>
    <t xml:space="preserve">Fe14-16_Glom_8_6</t>
  </si>
  <si>
    <t xml:space="preserve">Fe14-16_Glom_12_1</t>
  </si>
  <si>
    <t xml:space="preserve">Fe14-16_Glom_12_2</t>
  </si>
  <si>
    <t xml:space="preserve">Fe14-16_Glom_12_3</t>
  </si>
  <si>
    <t xml:space="preserve">Fe14-16_Glom_12_4</t>
  </si>
  <si>
    <t xml:space="preserve">Fe14-16_Glom_12_5</t>
  </si>
  <si>
    <t xml:space="preserve">Fe14-16_Plg_28_1</t>
  </si>
  <si>
    <t xml:space="preserve">Fe14-16_Plg_28_2</t>
  </si>
  <si>
    <t xml:space="preserve">Fe14-16_Plg_28_3</t>
  </si>
  <si>
    <t xml:space="preserve">Fe14-16_Plg_28_4</t>
  </si>
  <si>
    <t xml:space="preserve">Fe14-16_Glom_15_1</t>
  </si>
  <si>
    <t xml:space="preserve">Fe14-16_Glom_15_2</t>
  </si>
  <si>
    <t xml:space="preserve">Fe14-16_Glom_15_3</t>
  </si>
  <si>
    <t xml:space="preserve">Fe14-16_Glom_15_4</t>
  </si>
  <si>
    <t xml:space="preserve">Fe14-16_Glom_15_5</t>
  </si>
  <si>
    <t xml:space="preserve">Fe14-16_Glom_16_1</t>
  </si>
  <si>
    <t xml:space="preserve">Fe14-16_Glom_16_2</t>
  </si>
  <si>
    <t xml:space="preserve">Fe14-16_Glom_16_3</t>
  </si>
  <si>
    <t xml:space="preserve">Fe14-16_Glom_16_4</t>
  </si>
  <si>
    <t xml:space="preserve">Fe14-16_Glom_16_5</t>
  </si>
  <si>
    <t xml:space="preserve">Fe14-16_Plg_26_1</t>
  </si>
  <si>
    <t xml:space="preserve">Fe14-16_Plg_26_2</t>
  </si>
  <si>
    <t xml:space="preserve">Fe14-16_Plg_26_3</t>
  </si>
  <si>
    <t xml:space="preserve">Fe14-16_Plg_27_1</t>
  </si>
  <si>
    <t xml:space="preserve">Fe14-16_Plg_27_2</t>
  </si>
  <si>
    <t xml:space="preserve">Fe14-16_Plg_27_3</t>
  </si>
  <si>
    <t xml:space="preserve">Fe14-16_Plg_27_4</t>
  </si>
  <si>
    <t xml:space="preserve">Fe14-16_Plg_24_1</t>
  </si>
  <si>
    <t xml:space="preserve">Fe14-16_Plg_24_2</t>
  </si>
  <si>
    <t xml:space="preserve">Fe14-16_Plg_24_3</t>
  </si>
  <si>
    <t xml:space="preserve">Fe14-16_Plg_24_4</t>
  </si>
  <si>
    <t xml:space="preserve">Fe14-16_Plg_24_5</t>
  </si>
  <si>
    <t xml:space="preserve">Fe14-16_Plg_21_1</t>
  </si>
  <si>
    <t xml:space="preserve">Fe14-16_Plg_21_2</t>
  </si>
  <si>
    <t xml:space="preserve">Fe14-16_Plg_21_3</t>
  </si>
  <si>
    <t xml:space="preserve">Fe14-16_Plg_21_4</t>
  </si>
  <si>
    <t xml:space="preserve">Fe14-16_Glom_23_1</t>
  </si>
  <si>
    <t xml:space="preserve">Fe14-16_Glom_23_3</t>
  </si>
  <si>
    <t xml:space="preserve">Values are 1 sigma counting-statistic uncertainties reported per analysis by the probe software, as % relative to the measured concentration. 100 indicates the element was not detected.</t>
  </si>
  <si>
    <t xml:space="preserve">Secondary standard analyses, plagioclase session (25 to 26 February 2025, JEOL 8600, Oxford RLAHA)</t>
  </si>
  <si>
    <t xml:space="preserve">Standard</t>
  </si>
  <si>
    <t xml:space="preserve">No.</t>
  </si>
  <si>
    <t xml:space="preserve">SiO2</t>
  </si>
  <si>
    <t xml:space="preserve">TiO2</t>
  </si>
  <si>
    <t xml:space="preserve">Al2O3</t>
  </si>
  <si>
    <t xml:space="preserve">FeO</t>
  </si>
  <si>
    <t xml:space="preserve">MgO</t>
  </si>
  <si>
    <t xml:space="preserve">CaO</t>
  </si>
  <si>
    <t xml:space="preserve">Na2O</t>
  </si>
  <si>
    <t xml:space="preserve">K2O</t>
  </si>
  <si>
    <t xml:space="preserve">Aug</t>
  </si>
  <si>
    <t xml:space="preserve">Aug_1</t>
  </si>
  <si>
    <t xml:space="preserve">Feb 26 00:52 2025</t>
  </si>
  <si>
    <t xml:space="preserve">Aug_2</t>
  </si>
  <si>
    <t xml:space="preserve">Feb 26 00:57 2025</t>
  </si>
  <si>
    <t xml:space="preserve">Aug_3</t>
  </si>
  <si>
    <t xml:space="preserve">Feb 26 01:02 2025</t>
  </si>
  <si>
    <t xml:space="preserve">Aug_4</t>
  </si>
  <si>
    <t xml:space="preserve">Feb 26 01:07 2025</t>
  </si>
  <si>
    <t xml:space="preserve">Aug_5</t>
  </si>
  <si>
    <t xml:space="preserve">Feb 26 01:12 2025</t>
  </si>
  <si>
    <t xml:space="preserve">Plag</t>
  </si>
  <si>
    <t xml:space="preserve">Plag_1</t>
  </si>
  <si>
    <t xml:space="preserve">Feb 26 00:25 2025</t>
  </si>
  <si>
    <t xml:space="preserve">Plag_2</t>
  </si>
  <si>
    <t xml:space="preserve">Feb 26 00:31 2025</t>
  </si>
  <si>
    <t xml:space="preserve">Plag_3</t>
  </si>
  <si>
    <t xml:space="preserve">Feb 26 00:36 2025</t>
  </si>
  <si>
    <t xml:space="preserve">Plag_4</t>
  </si>
  <si>
    <t xml:space="preserve">Feb 26 00:41 2025</t>
  </si>
  <si>
    <t xml:space="preserve">Plag_5</t>
  </si>
  <si>
    <t xml:space="preserve">Feb 26 00:46 2025</t>
  </si>
  <si>
    <t xml:space="preserve">Summary by standard and session</t>
  </si>
  <si>
    <t xml:space="preserve">Statistic</t>
  </si>
  <si>
    <t xml:space="preserve">n</t>
  </si>
  <si>
    <t xml:space="preserve">Mean</t>
  </si>
  <si>
    <t xml:space="preserve">SD</t>
  </si>
  <si>
    <t xml:space="preserve">RSD (%)</t>
  </si>
  <si>
    <t xml:space="preserve">Standards were analysed under the plagioclase conditions (15 kV, 40 nA, 5 um). Plag and Aug are the in-house Oxford secondary standards; add preferred values for each if an accuracy comparison is wanted. RSD is the within-session reproducibility.</t>
  </si>
  <si>
    <t xml:space="preserve">Sheet</t>
  </si>
  <si>
    <t xml:space="preserve">Heading</t>
  </si>
  <si>
    <t xml:space="preserve">Description</t>
  </si>
  <si>
    <t xml:space="preserve">PLG</t>
  </si>
  <si>
    <t xml:space="preserve">Unique analysis identifier: sample_phase_crystal number_spot number</t>
  </si>
  <si>
    <t xml:space="preserve">Eruption year</t>
  </si>
  <si>
    <t xml:space="preserve">Sample code (Table 4.1)</t>
  </si>
  <si>
    <t xml:space="preserve">Probe analysis number within the session</t>
  </si>
  <si>
    <t xml:space="preserve">Date and time of analysis</t>
  </si>
  <si>
    <t xml:space="preserve">Analytical total (wt%)</t>
  </si>
  <si>
    <t xml:space="preserve">EPMA session file</t>
  </si>
  <si>
    <t xml:space="preserve">Crystal habit: Phenocryst or Glomerocryst</t>
  </si>
  <si>
    <t xml:space="preserve">SiO2 (wt%), EPMA plagioclase analysis</t>
  </si>
  <si>
    <t xml:space="preserve">TiO2 (wt%), EPMA plagioclase analysis</t>
  </si>
  <si>
    <t xml:space="preserve">Al2O3 (wt%), EPMA plagioclase analysis</t>
  </si>
  <si>
    <t xml:space="preserve">MgO (wt%), EPMA plagioclase analysis</t>
  </si>
  <si>
    <t xml:space="preserve">CaO (wt%), EPMA plagioclase analysis</t>
  </si>
  <si>
    <t xml:space="preserve">Na2O (wt%), EPMA plagioclase analysis</t>
  </si>
  <si>
    <t xml:space="preserve">K2O (wt%), EPMA plagioclase analysis</t>
  </si>
  <si>
    <t xml:space="preserve">FeO total (wt%), all Fe as FeO</t>
  </si>
  <si>
    <t xml:space="preserve">Sum of oxygen from molar proportions, used to normalise cations to 8 oxygens</t>
  </si>
  <si>
    <t xml:space="preserve">Si, Ti, Al, Fe, Mg, Ca, Na, K</t>
  </si>
  <si>
    <t xml:space="preserve">Cations per formula unit on an 8-oxygen basis, all Fe as Fe2+</t>
  </si>
  <si>
    <t xml:space="preserve">Anorthite content, An# = 100 x Ca/(Ca + Na + K), cation basis</t>
  </si>
  <si>
    <t xml:space="preserve">Albite content, 100 x Na/(Ca + Na + K)</t>
  </si>
  <si>
    <t xml:space="preserve">Orthoclase content, 100 x K/(Ca + Na + K)</t>
  </si>
  <si>
    <t xml:space="preserve">Count</t>
  </si>
  <si>
    <t xml:space="preserve">Sample_ID, Eruption, Sample, Session, Number</t>
  </si>
  <si>
    <t xml:space="preserve">As PLG</t>
  </si>
  <si>
    <t xml:space="preserve">Probe label as recorded in the session file</t>
  </si>
  <si>
    <t xml:space="preserve">1 sigma counting-statistic uncertainty on SiO2 (% relative to measured concentration)</t>
  </si>
  <si>
    <t xml:space="preserve">1 sigma counting-statistic uncertainty on TiO2 (% relative to measured concentration)</t>
  </si>
  <si>
    <t xml:space="preserve">1 sigma counting-statistic uncertainty on Al2O3 (% relative to measured concentration)</t>
  </si>
  <si>
    <t xml:space="preserve">1 sigma counting-statistic uncertainty on FeOt (% relative to measured concentration)</t>
  </si>
  <si>
    <t xml:space="preserve">1 sigma counting-statistic uncertainty on MgO (% relative to measured concentration)</t>
  </si>
  <si>
    <t xml:space="preserve">1 sigma counting-statistic uncertainty on CaO (% relative to measured concentration)</t>
  </si>
  <si>
    <t xml:space="preserve">1 sigma counting-statistic uncertainty on Na2O (% relative to measured concentration)</t>
  </si>
  <si>
    <t xml:space="preserve">1 sigma counting-statistic uncertainty on K2O (% relative to measured concentration)</t>
  </si>
  <si>
    <t xml:space="preserve">STD</t>
  </si>
  <si>
    <t xml:space="preserve">Secondary standard analysed</t>
  </si>
  <si>
    <t xml:space="preserve">Label, No., Date</t>
  </si>
  <si>
    <t xml:space="preserve">Probe label, analysis number and time</t>
  </si>
  <si>
    <t xml:space="preserve">SiO2 ... K2O</t>
  </si>
  <si>
    <t xml:space="preserve">Measured oxide concentration (wt%); FeO is total Fe as FeO</t>
  </si>
  <si>
    <t xml:space="preserve">Mean, SD, RSD (%)</t>
  </si>
  <si>
    <t xml:space="preserve">Per-session mean, standard deviation and relative standard deviation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</si>
</sst>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8"/>
    <col collapsed="false" customWidth="true" hidden="false" outlineLevel="0" max="7" min="7" style="0" width="19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3" min="12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8"/>
    <col collapsed="false" customWidth="true" hidden="false" outlineLevel="0" max="18" min="17" style="0" width="19"/>
    <col collapsed="false" customWidth="true" hidden="false" outlineLevel="0" max="19" min="19" style="0" width="22"/>
    <col collapsed="false" customWidth="true" hidden="false" outlineLevel="0" max="20" min="20" style="0" width="19"/>
    <col collapsed="false" customWidth="true" hidden="false" outlineLevel="0" max="21" min="21" style="0" width="21"/>
    <col collapsed="false" customWidth="true" hidden="false" outlineLevel="0" max="22" min="22" style="0" width="22"/>
    <col collapsed="false" customWidth="true" hidden="false" outlineLevel="0" max="24" min="23" style="0" width="20"/>
    <col collapsed="false" customWidth="true" hidden="false" outlineLevel="0" max="25" min="25" style="0" width="22"/>
    <col collapsed="false" customWidth="true" hidden="false" outlineLevel="0" max="27" min="26" style="0" width="19"/>
    <col collapsed="false" customWidth="true" hidden="false" outlineLevel="0" max="28" min="28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2" t="s">
        <v>28</v>
      </c>
      <c r="B2" s="2" t="s">
        <v>29</v>
      </c>
      <c r="C2" s="2" t="n">
        <v>2009</v>
      </c>
      <c r="D2" s="2" t="s">
        <v>30</v>
      </c>
      <c r="E2" s="2" t="s">
        <v>31</v>
      </c>
      <c r="F2" s="2" t="n">
        <v>178</v>
      </c>
      <c r="G2" s="2" t="s">
        <v>32</v>
      </c>
      <c r="H2" s="2" t="n">
        <v>48.04</v>
      </c>
      <c r="I2" s="2" t="n">
        <v>0.0717</v>
      </c>
      <c r="J2" s="2" t="n">
        <v>32.71</v>
      </c>
      <c r="K2" s="2" t="n">
        <v>0.5699</v>
      </c>
      <c r="L2" s="2" t="n">
        <v>0.1334</v>
      </c>
      <c r="M2" s="2" t="n">
        <v>15.84</v>
      </c>
      <c r="N2" s="2" t="n">
        <v>2.5</v>
      </c>
      <c r="O2" s="2" t="n">
        <v>0.0571</v>
      </c>
      <c r="P2" s="2" t="n">
        <v>99.92</v>
      </c>
      <c r="Q2" s="2" t="n">
        <v>2.89797043159869</v>
      </c>
      <c r="R2" s="2" t="n">
        <v>2.20719243158037</v>
      </c>
      <c r="S2" s="2" t="n">
        <v>0.00247832750427558</v>
      </c>
      <c r="T2" s="2" t="n">
        <v>1.77121993103759</v>
      </c>
      <c r="U2" s="2" t="n">
        <v>0.0218979868070925</v>
      </c>
      <c r="V2" s="2" t="n">
        <v>0.00913700192539644</v>
      </c>
      <c r="W2" s="2" t="n">
        <v>0.779769856167552</v>
      </c>
      <c r="X2" s="2" t="n">
        <v>0.222700645837784</v>
      </c>
      <c r="Y2" s="2" t="n">
        <v>0.00334683491077233</v>
      </c>
      <c r="Z2" s="2" t="n">
        <v>77.5259908084673</v>
      </c>
      <c r="AA2" s="2" t="n">
        <v>22.1412614064296</v>
      </c>
      <c r="AB2" s="2" t="n">
        <v>0.332747785103198</v>
      </c>
    </row>
    <row r="3" customFormat="false" ht="15" hidden="false" customHeight="false" outlineLevel="0" collapsed="false">
      <c r="A3" s="2" t="s">
        <v>33</v>
      </c>
      <c r="B3" s="2" t="s">
        <v>29</v>
      </c>
      <c r="C3" s="2" t="n">
        <v>2009</v>
      </c>
      <c r="D3" s="2" t="s">
        <v>30</v>
      </c>
      <c r="E3" s="2" t="s">
        <v>31</v>
      </c>
      <c r="F3" s="2" t="n">
        <v>181</v>
      </c>
      <c r="G3" s="2" t="s">
        <v>34</v>
      </c>
      <c r="H3" s="2" t="n">
        <v>46.74</v>
      </c>
      <c r="I3" s="2" t="n">
        <v>0.0617</v>
      </c>
      <c r="J3" s="2" t="n">
        <v>32.75</v>
      </c>
      <c r="K3" s="2" t="n">
        <v>0.5074</v>
      </c>
      <c r="L3" s="2" t="n">
        <v>0.1689</v>
      </c>
      <c r="M3" s="2" t="n">
        <v>15.52</v>
      </c>
      <c r="N3" s="2" t="n">
        <v>2.22</v>
      </c>
      <c r="O3" s="2" t="n">
        <v>0.0404</v>
      </c>
      <c r="P3" s="2" t="n">
        <v>98.01</v>
      </c>
      <c r="Q3" s="2" t="n">
        <v>2.84523365320984</v>
      </c>
      <c r="R3" s="2" t="n">
        <v>2.18726760476157</v>
      </c>
      <c r="S3" s="2" t="n">
        <v>0.00217220454557966</v>
      </c>
      <c r="T3" s="2" t="n">
        <v>1.80625583842869</v>
      </c>
      <c r="U3" s="2" t="n">
        <v>0.0198578400768299</v>
      </c>
      <c r="V3" s="2" t="n">
        <v>0.0117829368348068</v>
      </c>
      <c r="W3" s="2" t="n">
        <v>0.778178083633441</v>
      </c>
      <c r="X3" s="2" t="n">
        <v>0.201423647149288</v>
      </c>
      <c r="Y3" s="2" t="n">
        <v>0.00241187924588724</v>
      </c>
      <c r="Z3" s="2" t="n">
        <v>79.2431057661986</v>
      </c>
      <c r="AA3" s="2" t="n">
        <v>20.5112887532606</v>
      </c>
      <c r="AB3" s="2" t="n">
        <v>0.245605480540841</v>
      </c>
    </row>
    <row r="4" customFormat="false" ht="15" hidden="false" customHeight="false" outlineLevel="0" collapsed="false">
      <c r="A4" s="2" t="s">
        <v>35</v>
      </c>
      <c r="B4" s="2" t="s">
        <v>29</v>
      </c>
      <c r="C4" s="2" t="n">
        <v>2009</v>
      </c>
      <c r="D4" s="2" t="s">
        <v>30</v>
      </c>
      <c r="E4" s="2" t="s">
        <v>31</v>
      </c>
      <c r="F4" s="2" t="n">
        <v>182</v>
      </c>
      <c r="G4" s="2" t="s">
        <v>36</v>
      </c>
      <c r="H4" s="2" t="n">
        <v>46.96</v>
      </c>
      <c r="I4" s="2" t="n">
        <v>0.0669</v>
      </c>
      <c r="J4" s="2" t="n">
        <v>32.68</v>
      </c>
      <c r="K4" s="2" t="n">
        <v>0.595</v>
      </c>
      <c r="L4" s="2" t="n">
        <v>0.1658</v>
      </c>
      <c r="M4" s="2" t="n">
        <v>15.89</v>
      </c>
      <c r="N4" s="2" t="n">
        <v>2.27</v>
      </c>
      <c r="O4" s="2" t="n">
        <v>0.0487</v>
      </c>
      <c r="P4" s="2" t="n">
        <v>98.68</v>
      </c>
      <c r="Q4" s="2" t="n">
        <v>2.85926264645597</v>
      </c>
      <c r="R4" s="2" t="n">
        <v>2.18678047274634</v>
      </c>
      <c r="S4" s="2" t="n">
        <v>0.0023437190935674</v>
      </c>
      <c r="T4" s="2" t="n">
        <v>1.79355167389484</v>
      </c>
      <c r="U4" s="2" t="n">
        <v>0.0231719401373666</v>
      </c>
      <c r="V4" s="2" t="n">
        <v>0.0115099201941948</v>
      </c>
      <c r="W4" s="2" t="n">
        <v>0.792820847932778</v>
      </c>
      <c r="X4" s="2" t="n">
        <v>0.204949670462237</v>
      </c>
      <c r="Y4" s="2" t="n">
        <v>0.00289312396495739</v>
      </c>
      <c r="Z4" s="2" t="n">
        <v>79.2295047377742</v>
      </c>
      <c r="AA4" s="2" t="n">
        <v>20.4813747383568</v>
      </c>
      <c r="AB4" s="2" t="n">
        <v>0.289120523868962</v>
      </c>
    </row>
    <row r="5" customFormat="false" ht="15" hidden="false" customHeight="false" outlineLevel="0" collapsed="false">
      <c r="A5" s="2" t="s">
        <v>37</v>
      </c>
      <c r="B5" s="2" t="s">
        <v>29</v>
      </c>
      <c r="C5" s="2" t="n">
        <v>2009</v>
      </c>
      <c r="D5" s="2" t="s">
        <v>30</v>
      </c>
      <c r="E5" s="2" t="s">
        <v>31</v>
      </c>
      <c r="F5" s="2" t="n">
        <v>183</v>
      </c>
      <c r="G5" s="2" t="s">
        <v>38</v>
      </c>
      <c r="H5" s="2" t="n">
        <v>50.6</v>
      </c>
      <c r="I5" s="2" t="n">
        <v>0.117</v>
      </c>
      <c r="J5" s="2" t="n">
        <v>30.35</v>
      </c>
      <c r="K5" s="2" t="n">
        <v>0.8096</v>
      </c>
      <c r="L5" s="2" t="n">
        <v>0.2002</v>
      </c>
      <c r="M5" s="2" t="n">
        <v>13.49</v>
      </c>
      <c r="N5" s="2" t="n">
        <v>3.72</v>
      </c>
      <c r="O5" s="2" t="n">
        <v>0.0867</v>
      </c>
      <c r="P5" s="2" t="n">
        <v>99.37</v>
      </c>
      <c r="Q5" s="2" t="n">
        <v>2.8979660284414</v>
      </c>
      <c r="R5" s="2" t="n">
        <v>2.32481487781156</v>
      </c>
      <c r="S5" s="2" t="n">
        <v>0.00404413889220081</v>
      </c>
      <c r="T5" s="2" t="n">
        <v>1.64343034498401</v>
      </c>
      <c r="U5" s="2" t="n">
        <v>0.0311083296294036</v>
      </c>
      <c r="V5" s="2" t="n">
        <v>0.0137123730493651</v>
      </c>
      <c r="W5" s="2" t="n">
        <v>0.664085312018256</v>
      </c>
      <c r="X5" s="2" t="n">
        <v>0.331379064501803</v>
      </c>
      <c r="Y5" s="2" t="n">
        <v>0.00508180433709142</v>
      </c>
      <c r="Z5" s="2" t="n">
        <v>66.3722799330807</v>
      </c>
      <c r="AA5" s="2" t="n">
        <v>33.1198170401207</v>
      </c>
      <c r="AB5" s="2" t="n">
        <v>0.507903026798616</v>
      </c>
    </row>
    <row r="6" customFormat="false" ht="15" hidden="false" customHeight="false" outlineLevel="0" collapsed="false">
      <c r="A6" s="2" t="s">
        <v>39</v>
      </c>
      <c r="B6" s="2" t="s">
        <v>29</v>
      </c>
      <c r="C6" s="2" t="n">
        <v>2009</v>
      </c>
      <c r="D6" s="2" t="s">
        <v>30</v>
      </c>
      <c r="E6" s="2" t="s">
        <v>31</v>
      </c>
      <c r="F6" s="2" t="n">
        <v>184</v>
      </c>
      <c r="G6" s="2" t="s">
        <v>40</v>
      </c>
      <c r="H6" s="2" t="n">
        <v>50.53</v>
      </c>
      <c r="I6" s="2" t="n">
        <v>0.1207</v>
      </c>
      <c r="J6" s="2" t="n">
        <v>30.29</v>
      </c>
      <c r="K6" s="2" t="n">
        <v>0.7081</v>
      </c>
      <c r="L6" s="2" t="n">
        <v>0.1844</v>
      </c>
      <c r="M6" s="2" t="n">
        <v>13.18</v>
      </c>
      <c r="N6" s="2" t="n">
        <v>3.78</v>
      </c>
      <c r="O6" s="2" t="n">
        <v>0.0838</v>
      </c>
      <c r="P6" s="2" t="n">
        <v>98.87</v>
      </c>
      <c r="Q6" s="2" t="n">
        <v>2.88756759829192</v>
      </c>
      <c r="R6" s="2" t="n">
        <v>2.32995904835556</v>
      </c>
      <c r="S6" s="2" t="n">
        <v>0.00418705437803853</v>
      </c>
      <c r="T6" s="2" t="n">
        <v>1.64608785193003</v>
      </c>
      <c r="U6" s="2" t="n">
        <v>0.0273062408974899</v>
      </c>
      <c r="V6" s="2" t="n">
        <v>0.0126756603527231</v>
      </c>
      <c r="W6" s="2" t="n">
        <v>0.651161126162643</v>
      </c>
      <c r="X6" s="2" t="n">
        <v>0.33793646573739</v>
      </c>
      <c r="Y6" s="2" t="n">
        <v>0.00492951271240702</v>
      </c>
      <c r="Z6" s="2" t="n">
        <v>65.507381352194</v>
      </c>
      <c r="AA6" s="2" t="n">
        <v>33.996705338246</v>
      </c>
      <c r="AB6" s="2" t="n">
        <v>0.495913309560002</v>
      </c>
    </row>
    <row r="7" customFormat="false" ht="15" hidden="false" customHeight="false" outlineLevel="0" collapsed="false">
      <c r="A7" s="2" t="s">
        <v>41</v>
      </c>
      <c r="B7" s="2" t="s">
        <v>29</v>
      </c>
      <c r="C7" s="2" t="n">
        <v>2009</v>
      </c>
      <c r="D7" s="2" t="s">
        <v>30</v>
      </c>
      <c r="E7" s="2" t="s">
        <v>31</v>
      </c>
      <c r="F7" s="2" t="n">
        <v>185</v>
      </c>
      <c r="G7" s="2" t="s">
        <v>42</v>
      </c>
      <c r="H7" s="2" t="n">
        <v>46.66</v>
      </c>
      <c r="I7" s="2" t="n">
        <v>0.0505</v>
      </c>
      <c r="J7" s="2" t="n">
        <v>33.06</v>
      </c>
      <c r="K7" s="2" t="n">
        <v>0.5291</v>
      </c>
      <c r="L7" s="2" t="n">
        <v>0.1678</v>
      </c>
      <c r="M7" s="2" t="n">
        <v>16.07</v>
      </c>
      <c r="N7" s="2" t="n">
        <v>2.13</v>
      </c>
      <c r="O7" s="2" t="n">
        <v>0.0403</v>
      </c>
      <c r="P7" s="2" t="n">
        <v>98.7</v>
      </c>
      <c r="Q7" s="2" t="n">
        <v>2.86004090292721</v>
      </c>
      <c r="R7" s="2" t="n">
        <v>2.17221915850014</v>
      </c>
      <c r="S7" s="2" t="n">
        <v>0.00176869368364457</v>
      </c>
      <c r="T7" s="2" t="n">
        <v>1.81391320083409</v>
      </c>
      <c r="U7" s="2" t="n">
        <v>0.0205998946850533</v>
      </c>
      <c r="V7" s="2" t="n">
        <v>0.0116455914216455</v>
      </c>
      <c r="W7" s="2" t="n">
        <v>0.80158364539475</v>
      </c>
      <c r="X7" s="2" t="n">
        <v>0.192257272592203</v>
      </c>
      <c r="Y7" s="2" t="n">
        <v>0.00239345316749558</v>
      </c>
      <c r="Z7" s="2" t="n">
        <v>80.4613521280003</v>
      </c>
      <c r="AA7" s="2" t="n">
        <v>19.2983978628857</v>
      </c>
      <c r="AB7" s="2" t="n">
        <v>0.240250009114022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n">
        <v>2009</v>
      </c>
      <c r="D8" s="2" t="s">
        <v>30</v>
      </c>
      <c r="E8" s="2" t="s">
        <v>31</v>
      </c>
      <c r="F8" s="2" t="n">
        <v>186</v>
      </c>
      <c r="G8" s="2" t="s">
        <v>45</v>
      </c>
      <c r="H8" s="2" t="n">
        <v>46.47</v>
      </c>
      <c r="I8" s="2" t="n">
        <v>0.0579</v>
      </c>
      <c r="J8" s="2" t="n">
        <v>33.11</v>
      </c>
      <c r="K8" s="2" t="n">
        <v>0.5865</v>
      </c>
      <c r="L8" s="2" t="n">
        <v>0.1371</v>
      </c>
      <c r="M8" s="2" t="n">
        <v>16.11</v>
      </c>
      <c r="N8" s="2" t="n">
        <v>1.98</v>
      </c>
      <c r="O8" s="2" t="n">
        <v>0.0407</v>
      </c>
      <c r="P8" s="2" t="n">
        <v>98.48</v>
      </c>
      <c r="Q8" s="2" t="n">
        <v>2.85370750645979</v>
      </c>
      <c r="R8" s="2" t="n">
        <v>2.16817515921866</v>
      </c>
      <c r="S8" s="2" t="n">
        <v>0.00203236916455924</v>
      </c>
      <c r="T8" s="2" t="n">
        <v>1.82068837616764</v>
      </c>
      <c r="U8" s="2" t="n">
        <v>0.0228853754453957</v>
      </c>
      <c r="V8" s="2" t="n">
        <v>0.00953607886290593</v>
      </c>
      <c r="W8" s="2" t="n">
        <v>0.805362303986719</v>
      </c>
      <c r="X8" s="2" t="n">
        <v>0.179114667196177</v>
      </c>
      <c r="Y8" s="2" t="n">
        <v>0.0024225741779855</v>
      </c>
      <c r="Z8" s="2" t="n">
        <v>81.6052968888764</v>
      </c>
      <c r="AA8" s="2" t="n">
        <v>18.1492298824274</v>
      </c>
      <c r="AB8" s="2" t="n">
        <v>0.245473228696202</v>
      </c>
    </row>
    <row r="9" customFormat="false" ht="15" hidden="false" customHeight="false" outlineLevel="0" collapsed="false">
      <c r="A9" s="2" t="s">
        <v>46</v>
      </c>
      <c r="B9" s="2" t="s">
        <v>44</v>
      </c>
      <c r="C9" s="2" t="n">
        <v>2009</v>
      </c>
      <c r="D9" s="2" t="s">
        <v>30</v>
      </c>
      <c r="E9" s="2" t="s">
        <v>31</v>
      </c>
      <c r="F9" s="2" t="n">
        <v>187</v>
      </c>
      <c r="G9" s="2" t="s">
        <v>47</v>
      </c>
      <c r="H9" s="2" t="n">
        <v>47.03</v>
      </c>
      <c r="I9" s="2" t="n">
        <v>0.0709</v>
      </c>
      <c r="J9" s="2" t="n">
        <v>32.66</v>
      </c>
      <c r="K9" s="2" t="n">
        <v>0.6091</v>
      </c>
      <c r="L9" s="2" t="n">
        <v>0.161</v>
      </c>
      <c r="M9" s="2" t="n">
        <v>16</v>
      </c>
      <c r="N9" s="2" t="n">
        <v>2.2</v>
      </c>
      <c r="O9" s="2" t="n">
        <v>0.0331</v>
      </c>
      <c r="P9" s="2" t="n">
        <v>98.76</v>
      </c>
      <c r="Q9" s="2" t="n">
        <v>2.86184814995466</v>
      </c>
      <c r="R9" s="2" t="n">
        <v>2.18806158766899</v>
      </c>
      <c r="S9" s="2" t="n">
        <v>0.00248160776773686</v>
      </c>
      <c r="T9" s="2" t="n">
        <v>1.79083465726086</v>
      </c>
      <c r="U9" s="2" t="n">
        <v>0.0236996261885771</v>
      </c>
      <c r="V9" s="2" t="n">
        <v>0.0111666042952332</v>
      </c>
      <c r="W9" s="2" t="n">
        <v>0.797588000642998</v>
      </c>
      <c r="X9" s="2" t="n">
        <v>0.198450186931312</v>
      </c>
      <c r="Y9" s="2" t="n">
        <v>0.00196459728558987</v>
      </c>
      <c r="Z9" s="2" t="n">
        <v>79.9184143313752</v>
      </c>
      <c r="AA9" s="2" t="n">
        <v>19.8847327825013</v>
      </c>
      <c r="AB9" s="2" t="n">
        <v>0.196852886123525</v>
      </c>
    </row>
    <row r="10" customFormat="false" ht="15" hidden="false" customHeight="false" outlineLevel="0" collapsed="false">
      <c r="A10" s="2" t="s">
        <v>48</v>
      </c>
      <c r="B10" s="2" t="s">
        <v>44</v>
      </c>
      <c r="C10" s="2" t="n">
        <v>2009</v>
      </c>
      <c r="D10" s="2" t="s">
        <v>30</v>
      </c>
      <c r="E10" s="2" t="s">
        <v>31</v>
      </c>
      <c r="F10" s="2" t="n">
        <v>188</v>
      </c>
      <c r="G10" s="2" t="s">
        <v>49</v>
      </c>
      <c r="H10" s="2" t="n">
        <v>46.66</v>
      </c>
      <c r="I10" s="2" t="n">
        <v>0.0623</v>
      </c>
      <c r="J10" s="2" t="n">
        <v>33.09</v>
      </c>
      <c r="K10" s="2" t="n">
        <v>0.5712</v>
      </c>
      <c r="L10" s="2" t="n">
        <v>0.1494</v>
      </c>
      <c r="M10" s="2" t="n">
        <v>16.29</v>
      </c>
      <c r="N10" s="2" t="n">
        <v>2.04</v>
      </c>
      <c r="O10" s="2" t="n">
        <v>0.0382</v>
      </c>
      <c r="P10" s="2" t="n">
        <v>98.9</v>
      </c>
      <c r="Q10" s="2" t="n">
        <v>2.86379733166172</v>
      </c>
      <c r="R10" s="2" t="n">
        <v>2.16936986942007</v>
      </c>
      <c r="S10" s="2" t="n">
        <v>0.0021791105211575</v>
      </c>
      <c r="T10" s="2" t="n">
        <v>1.81317776006211</v>
      </c>
      <c r="U10" s="2" t="n">
        <v>0.0222098385462745</v>
      </c>
      <c r="V10" s="2" t="n">
        <v>0.0103550012157894</v>
      </c>
      <c r="W10" s="2" t="n">
        <v>0.811491582778633</v>
      </c>
      <c r="X10" s="2" t="n">
        <v>0.183892198569394</v>
      </c>
      <c r="Y10" s="2" t="n">
        <v>0.00226575639797115</v>
      </c>
      <c r="Z10" s="2" t="n">
        <v>81.3403456901354</v>
      </c>
      <c r="AA10" s="2" t="n">
        <v>18.432544857873</v>
      </c>
      <c r="AB10" s="2" t="n">
        <v>0.227109451991548</v>
      </c>
    </row>
    <row r="11" customFormat="false" ht="15" hidden="false" customHeight="false" outlineLevel="0" collapsed="false">
      <c r="A11" s="2" t="s">
        <v>50</v>
      </c>
      <c r="B11" s="2" t="s">
        <v>44</v>
      </c>
      <c r="C11" s="2" t="n">
        <v>2009</v>
      </c>
      <c r="D11" s="2" t="s">
        <v>30</v>
      </c>
      <c r="E11" s="2" t="s">
        <v>31</v>
      </c>
      <c r="F11" s="2" t="n">
        <v>189</v>
      </c>
      <c r="G11" s="2" t="s">
        <v>51</v>
      </c>
      <c r="H11" s="2" t="n">
        <v>47.17</v>
      </c>
      <c r="I11" s="2" t="n">
        <v>0.064</v>
      </c>
      <c r="J11" s="2" t="n">
        <v>32.8</v>
      </c>
      <c r="K11" s="2" t="n">
        <v>0.6161</v>
      </c>
      <c r="L11" s="2" t="n">
        <v>0.1634</v>
      </c>
      <c r="M11" s="2" t="n">
        <v>16.01</v>
      </c>
      <c r="N11" s="2" t="n">
        <v>2.22</v>
      </c>
      <c r="O11" s="2" t="n">
        <v>0.0398</v>
      </c>
      <c r="P11" s="2" t="n">
        <v>99.08</v>
      </c>
      <c r="Q11" s="2" t="n">
        <v>2.87118384887298</v>
      </c>
      <c r="R11" s="2" t="n">
        <v>2.18743936546992</v>
      </c>
      <c r="S11" s="2" t="n">
        <v>0.0022328135686341</v>
      </c>
      <c r="T11" s="2" t="n">
        <v>1.79266334236068</v>
      </c>
      <c r="U11" s="2" t="n">
        <v>0.0238940456604516</v>
      </c>
      <c r="V11" s="2" t="n">
        <v>0.0112962133623037</v>
      </c>
      <c r="W11" s="2" t="n">
        <v>0.795491502504367</v>
      </c>
      <c r="X11" s="2" t="n">
        <v>0.199603149636821</v>
      </c>
      <c r="Y11" s="2" t="n">
        <v>0.00235458407267727</v>
      </c>
      <c r="Z11" s="2" t="n">
        <v>79.7525802439738</v>
      </c>
      <c r="AA11" s="2" t="n">
        <v>20.0113592140767</v>
      </c>
      <c r="AB11" s="2" t="n">
        <v>0.236060541949466</v>
      </c>
    </row>
    <row r="12" customFormat="false" ht="15" hidden="false" customHeight="false" outlineLevel="0" collapsed="false">
      <c r="A12" s="2" t="s">
        <v>52</v>
      </c>
      <c r="B12" s="2" t="s">
        <v>44</v>
      </c>
      <c r="C12" s="2" t="n">
        <v>2009</v>
      </c>
      <c r="D12" s="2" t="s">
        <v>30</v>
      </c>
      <c r="E12" s="2" t="s">
        <v>31</v>
      </c>
      <c r="F12" s="2" t="n">
        <v>199</v>
      </c>
      <c r="G12" s="2" t="s">
        <v>53</v>
      </c>
      <c r="H12" s="2" t="n">
        <v>48.68</v>
      </c>
      <c r="I12" s="2" t="n">
        <v>0.097</v>
      </c>
      <c r="J12" s="2" t="n">
        <v>29.74</v>
      </c>
      <c r="K12" s="2" t="n">
        <v>0.6359</v>
      </c>
      <c r="L12" s="2" t="n">
        <v>0.1987</v>
      </c>
      <c r="M12" s="2" t="n">
        <v>13.19</v>
      </c>
      <c r="N12" s="2" t="n">
        <v>3.45</v>
      </c>
      <c r="O12" s="2" t="n">
        <v>0.0756</v>
      </c>
      <c r="P12" s="2" t="n">
        <v>96.06</v>
      </c>
      <c r="Q12" s="2" t="n">
        <v>2.80332772167619</v>
      </c>
      <c r="R12" s="2" t="n">
        <v>2.31210656789674</v>
      </c>
      <c r="S12" s="2" t="n">
        <v>0.00346602230764061</v>
      </c>
      <c r="T12" s="2" t="n">
        <v>1.66476520007106</v>
      </c>
      <c r="U12" s="2" t="n">
        <v>0.0252589001470913</v>
      </c>
      <c r="V12" s="2" t="n">
        <v>0.014069084311517</v>
      </c>
      <c r="W12" s="2" t="n">
        <v>0.671237388502493</v>
      </c>
      <c r="X12" s="2" t="n">
        <v>0.317702506492147</v>
      </c>
      <c r="Y12" s="2" t="n">
        <v>0.0045807865549671</v>
      </c>
      <c r="Z12" s="2" t="n">
        <v>67.5614912671526</v>
      </c>
      <c r="AA12" s="2" t="n">
        <v>31.9774426835909</v>
      </c>
      <c r="AB12" s="2" t="n">
        <v>0.461066049256508</v>
      </c>
    </row>
    <row r="13" customFormat="false" ht="15" hidden="false" customHeight="false" outlineLevel="0" collapsed="false">
      <c r="A13" s="2" t="s">
        <v>54</v>
      </c>
      <c r="B13" s="2" t="s">
        <v>29</v>
      </c>
      <c r="C13" s="2" t="n">
        <v>2009</v>
      </c>
      <c r="D13" s="2" t="s">
        <v>30</v>
      </c>
      <c r="E13" s="2" t="s">
        <v>31</v>
      </c>
      <c r="F13" s="2" t="n">
        <v>203</v>
      </c>
      <c r="G13" s="2" t="s">
        <v>55</v>
      </c>
      <c r="H13" s="2" t="n">
        <v>46.33</v>
      </c>
      <c r="I13" s="2" t="n">
        <v>0.0571</v>
      </c>
      <c r="J13" s="2" t="n">
        <v>31.75</v>
      </c>
      <c r="K13" s="2" t="n">
        <v>0.5134</v>
      </c>
      <c r="L13" s="2" t="n">
        <v>0.1602</v>
      </c>
      <c r="M13" s="2" t="n">
        <v>15.13</v>
      </c>
      <c r="N13" s="2" t="n">
        <v>2.35</v>
      </c>
      <c r="O13" s="2" t="n">
        <v>0.0432</v>
      </c>
      <c r="P13" s="2" t="n">
        <v>96.33</v>
      </c>
      <c r="Q13" s="2" t="n">
        <v>2.79708802609856</v>
      </c>
      <c r="R13" s="2" t="n">
        <v>2.20539972276716</v>
      </c>
      <c r="S13" s="2" t="n">
        <v>0.00204485946070865</v>
      </c>
      <c r="T13" s="2" t="n">
        <v>1.78124431778515</v>
      </c>
      <c r="U13" s="2" t="n">
        <v>0.0204385091140416</v>
      </c>
      <c r="V13" s="2" t="n">
        <v>0.0113683703819819</v>
      </c>
      <c r="W13" s="2" t="n">
        <v>0.771681358556765</v>
      </c>
      <c r="X13" s="2" t="n">
        <v>0.216888810030716</v>
      </c>
      <c r="Y13" s="2" t="n">
        <v>0.00262343159677947</v>
      </c>
      <c r="Z13" s="2" t="n">
        <v>77.853747079613</v>
      </c>
      <c r="AA13" s="2" t="n">
        <v>21.8815789357797</v>
      </c>
      <c r="AB13" s="2" t="n">
        <v>0.264673984607223</v>
      </c>
    </row>
    <row r="14" customFormat="false" ht="15" hidden="false" customHeight="false" outlineLevel="0" collapsed="false">
      <c r="A14" s="2" t="s">
        <v>56</v>
      </c>
      <c r="B14" s="2" t="s">
        <v>29</v>
      </c>
      <c r="C14" s="2" t="n">
        <v>2009</v>
      </c>
      <c r="D14" s="2" t="s">
        <v>30</v>
      </c>
      <c r="E14" s="2" t="s">
        <v>31</v>
      </c>
      <c r="F14" s="2" t="n">
        <v>204</v>
      </c>
      <c r="G14" s="2" t="s">
        <v>57</v>
      </c>
      <c r="H14" s="2" t="n">
        <v>45.51</v>
      </c>
      <c r="I14" s="2" t="n">
        <v>0.0568</v>
      </c>
      <c r="J14" s="2" t="n">
        <v>32.26</v>
      </c>
      <c r="K14" s="2" t="n">
        <v>0.5701</v>
      </c>
      <c r="L14" s="2" t="n">
        <v>0.158</v>
      </c>
      <c r="M14" s="2" t="n">
        <v>15.46</v>
      </c>
      <c r="N14" s="2" t="n">
        <v>2.07</v>
      </c>
      <c r="O14" s="2" t="n">
        <v>0.0293</v>
      </c>
      <c r="P14" s="2" t="n">
        <v>96.11</v>
      </c>
      <c r="Q14" s="2" t="n">
        <v>2.78674529570974</v>
      </c>
      <c r="R14" s="2" t="n">
        <v>2.17440635352698</v>
      </c>
      <c r="S14" s="2" t="n">
        <v>0.00204166531142537</v>
      </c>
      <c r="T14" s="2" t="n">
        <v>1.81657353492685</v>
      </c>
      <c r="U14" s="2" t="n">
        <v>0.0227799752102003</v>
      </c>
      <c r="V14" s="2" t="n">
        <v>0.0112538636011227</v>
      </c>
      <c r="W14" s="2" t="n">
        <v>0.791438965053404</v>
      </c>
      <c r="X14" s="2" t="n">
        <v>0.191755790182888</v>
      </c>
      <c r="Y14" s="2" t="n">
        <v>0.00178592195349987</v>
      </c>
      <c r="Z14" s="2" t="n">
        <v>80.3507097531523</v>
      </c>
      <c r="AA14" s="2" t="n">
        <v>19.4679748165191</v>
      </c>
      <c r="AB14" s="2" t="n">
        <v>0.181315430328563</v>
      </c>
    </row>
    <row r="15" customFormat="false" ht="15" hidden="false" customHeight="false" outlineLevel="0" collapsed="false">
      <c r="A15" s="2" t="s">
        <v>58</v>
      </c>
      <c r="B15" s="2" t="s">
        <v>29</v>
      </c>
      <c r="C15" s="2" t="n">
        <v>2009</v>
      </c>
      <c r="D15" s="2" t="s">
        <v>30</v>
      </c>
      <c r="E15" s="2" t="s">
        <v>31</v>
      </c>
      <c r="F15" s="2" t="n">
        <v>205</v>
      </c>
      <c r="G15" s="2" t="s">
        <v>59</v>
      </c>
      <c r="H15" s="2" t="n">
        <v>50.98</v>
      </c>
      <c r="I15" s="2" t="n">
        <v>0.1459</v>
      </c>
      <c r="J15" s="2" t="n">
        <v>28.74</v>
      </c>
      <c r="K15" s="2" t="n">
        <v>0.7694</v>
      </c>
      <c r="L15" s="2" t="n">
        <v>0.1939</v>
      </c>
      <c r="M15" s="2" t="n">
        <v>10.99</v>
      </c>
      <c r="N15" s="2" t="n">
        <v>4.4</v>
      </c>
      <c r="O15" s="2" t="n">
        <v>0.1732</v>
      </c>
      <c r="P15" s="2" t="n">
        <v>96.4</v>
      </c>
      <c r="Q15" s="2" t="n">
        <v>2.83056000483632</v>
      </c>
      <c r="R15" s="2" t="n">
        <v>2.3980521024873</v>
      </c>
      <c r="S15" s="2" t="n">
        <v>0.0051631699089804</v>
      </c>
      <c r="T15" s="2" t="n">
        <v>1.59331004563201</v>
      </c>
      <c r="U15" s="2" t="n">
        <v>0.0302676915036922</v>
      </c>
      <c r="V15" s="2" t="n">
        <v>0.01359713094651</v>
      </c>
      <c r="W15" s="2" t="n">
        <v>0.553898949863856</v>
      </c>
      <c r="X15" s="2" t="n">
        <v>0.401287589280675</v>
      </c>
      <c r="Y15" s="2" t="n">
        <v>0.0103936396100736</v>
      </c>
      <c r="Z15" s="2" t="n">
        <v>57.3643662174455</v>
      </c>
      <c r="AA15" s="2" t="n">
        <v>41.5592198462743</v>
      </c>
      <c r="AB15" s="2" t="n">
        <v>1.07641393628017</v>
      </c>
    </row>
    <row r="16" customFormat="false" ht="15" hidden="false" customHeight="false" outlineLevel="0" collapsed="false">
      <c r="A16" s="2" t="s">
        <v>60</v>
      </c>
      <c r="B16" s="2" t="s">
        <v>29</v>
      </c>
      <c r="C16" s="2" t="n">
        <v>2009</v>
      </c>
      <c r="D16" s="2" t="s">
        <v>61</v>
      </c>
      <c r="E16" s="2" t="s">
        <v>31</v>
      </c>
      <c r="F16" s="2" t="n">
        <v>95</v>
      </c>
      <c r="G16" s="2" t="s">
        <v>62</v>
      </c>
      <c r="H16" s="2" t="n">
        <v>48.74</v>
      </c>
      <c r="I16" s="2" t="n">
        <v>0.0653</v>
      </c>
      <c r="J16" s="2" t="n">
        <v>32.73</v>
      </c>
      <c r="K16" s="2" t="n">
        <v>0.5827</v>
      </c>
      <c r="L16" s="2" t="n">
        <v>0.1678</v>
      </c>
      <c r="M16" s="2" t="n">
        <v>15.8</v>
      </c>
      <c r="N16" s="2" t="n">
        <v>2.6</v>
      </c>
      <c r="O16" s="2" t="n">
        <v>0.0566</v>
      </c>
      <c r="P16" s="2" t="n">
        <v>100.74</v>
      </c>
      <c r="Q16" s="2" t="n">
        <v>2.92362584752972</v>
      </c>
      <c r="R16" s="2" t="n">
        <v>2.2197030643972</v>
      </c>
      <c r="S16" s="2" t="n">
        <v>0.00223730338379465</v>
      </c>
      <c r="T16" s="2" t="n">
        <v>1.75675059352903</v>
      </c>
      <c r="U16" s="2" t="n">
        <v>0.0221933421227823</v>
      </c>
      <c r="V16" s="2" t="n">
        <v>0.011392315413009</v>
      </c>
      <c r="W16" s="2" t="n">
        <v>0.770975379482944</v>
      </c>
      <c r="X16" s="2" t="n">
        <v>0.229576258115375</v>
      </c>
      <c r="Y16" s="2" t="n">
        <v>0.00328841613607645</v>
      </c>
      <c r="Z16" s="2" t="n">
        <v>76.802611792071</v>
      </c>
      <c r="AA16" s="2" t="n">
        <v>22.8698045332347</v>
      </c>
      <c r="AB16" s="2" t="n">
        <v>0.327583674694309</v>
      </c>
    </row>
    <row r="17" customFormat="false" ht="15" hidden="false" customHeight="false" outlineLevel="0" collapsed="false">
      <c r="A17" s="2" t="s">
        <v>63</v>
      </c>
      <c r="B17" s="2" t="s">
        <v>29</v>
      </c>
      <c r="C17" s="2" t="n">
        <v>2009</v>
      </c>
      <c r="D17" s="2" t="s">
        <v>61</v>
      </c>
      <c r="E17" s="2" t="s">
        <v>31</v>
      </c>
      <c r="F17" s="2" t="n">
        <v>96</v>
      </c>
      <c r="G17" s="2" t="s">
        <v>64</v>
      </c>
      <c r="H17" s="2" t="n">
        <v>48.33</v>
      </c>
      <c r="I17" s="2" t="n">
        <v>0.0778</v>
      </c>
      <c r="J17" s="2" t="n">
        <v>33</v>
      </c>
      <c r="K17" s="2" t="n">
        <v>0.6161</v>
      </c>
      <c r="L17" s="2" t="n">
        <v>0.1824</v>
      </c>
      <c r="M17" s="2" t="n">
        <v>16.25</v>
      </c>
      <c r="N17" s="2" t="n">
        <v>2.45</v>
      </c>
      <c r="O17" s="2" t="n">
        <v>0.0442</v>
      </c>
      <c r="P17" s="2" t="n">
        <v>100.95</v>
      </c>
      <c r="Q17" s="2" t="n">
        <v>2.92453553670185</v>
      </c>
      <c r="R17" s="2" t="n">
        <v>2.20034632228797</v>
      </c>
      <c r="S17" s="2" t="n">
        <v>0.002664748246145</v>
      </c>
      <c r="T17" s="2" t="n">
        <v>1.7706916257502</v>
      </c>
      <c r="U17" s="2" t="n">
        <v>0.0234581516017037</v>
      </c>
      <c r="V17" s="2" t="n">
        <v>0.012379689949869</v>
      </c>
      <c r="W17" s="2" t="n">
        <v>0.792686893687613</v>
      </c>
      <c r="X17" s="2" t="n">
        <v>0.21626418317159</v>
      </c>
      <c r="Y17" s="2" t="n">
        <v>0.0025671869629919</v>
      </c>
      <c r="Z17" s="2" t="n">
        <v>78.3660485468952</v>
      </c>
      <c r="AA17" s="2" t="n">
        <v>21.3801560393382</v>
      </c>
      <c r="AB17" s="2" t="n">
        <v>0.253795413766564</v>
      </c>
    </row>
    <row r="18" customFormat="false" ht="15" hidden="false" customHeight="false" outlineLevel="0" collapsed="false">
      <c r="A18" s="2" t="s">
        <v>65</v>
      </c>
      <c r="B18" s="2" t="s">
        <v>29</v>
      </c>
      <c r="C18" s="2" t="n">
        <v>2009</v>
      </c>
      <c r="D18" s="2" t="s">
        <v>61</v>
      </c>
      <c r="E18" s="2" t="s">
        <v>31</v>
      </c>
      <c r="F18" s="2" t="n">
        <v>97</v>
      </c>
      <c r="G18" s="2" t="s">
        <v>66</v>
      </c>
      <c r="H18" s="2" t="n">
        <v>50.02</v>
      </c>
      <c r="I18" s="2" t="n">
        <v>0.0808</v>
      </c>
      <c r="J18" s="2" t="n">
        <v>31.81</v>
      </c>
      <c r="K18" s="2" t="n">
        <v>0.6103</v>
      </c>
      <c r="L18" s="2" t="n">
        <v>0.211</v>
      </c>
      <c r="M18" s="2" t="n">
        <v>14.85</v>
      </c>
      <c r="N18" s="2" t="n">
        <v>3.18</v>
      </c>
      <c r="O18" s="2" t="n">
        <v>0.0725</v>
      </c>
      <c r="P18" s="2" t="n">
        <v>100.84</v>
      </c>
      <c r="Q18" s="2" t="n">
        <v>2.93359368075518</v>
      </c>
      <c r="R18" s="2" t="n">
        <v>2.27025622668048</v>
      </c>
      <c r="S18" s="2" t="n">
        <v>0.00275895673659633</v>
      </c>
      <c r="T18" s="2" t="n">
        <v>1.70156915399621</v>
      </c>
      <c r="U18" s="2" t="n">
        <v>0.0231655646989291</v>
      </c>
      <c r="V18" s="2" t="n">
        <v>0.0142765848459825</v>
      </c>
      <c r="W18" s="2" t="n">
        <v>0.722157136606622</v>
      </c>
      <c r="X18" s="2" t="n">
        <v>0.279835350516794</v>
      </c>
      <c r="Y18" s="2" t="n">
        <v>0.00419788152321451</v>
      </c>
      <c r="Z18" s="2" t="n">
        <v>71.7714220995729</v>
      </c>
      <c r="AA18" s="2" t="n">
        <v>27.8113724039304</v>
      </c>
      <c r="AB18" s="2" t="n">
        <v>0.417205496496736</v>
      </c>
    </row>
    <row r="19" customFormat="false" ht="15" hidden="false" customHeight="false" outlineLevel="0" collapsed="false">
      <c r="A19" s="2" t="s">
        <v>67</v>
      </c>
      <c r="B19" s="2" t="s">
        <v>29</v>
      </c>
      <c r="C19" s="2" t="n">
        <v>2009</v>
      </c>
      <c r="D19" s="2" t="s">
        <v>61</v>
      </c>
      <c r="E19" s="2" t="s">
        <v>31</v>
      </c>
      <c r="F19" s="2" t="n">
        <v>98</v>
      </c>
      <c r="G19" s="2" t="s">
        <v>68</v>
      </c>
      <c r="H19" s="2" t="n">
        <v>48.52</v>
      </c>
      <c r="I19" s="2" t="n">
        <v>0.0692</v>
      </c>
      <c r="J19" s="2" t="n">
        <v>32.91</v>
      </c>
      <c r="K19" s="2" t="n">
        <v>0.5796</v>
      </c>
      <c r="L19" s="2" t="n">
        <v>0.1847</v>
      </c>
      <c r="M19" s="2" t="n">
        <v>16.11</v>
      </c>
      <c r="N19" s="2" t="n">
        <v>2.55</v>
      </c>
      <c r="O19" s="2" t="n">
        <v>0.0693</v>
      </c>
      <c r="P19" s="2" t="n">
        <v>100.99</v>
      </c>
      <c r="Q19" s="2" t="n">
        <v>2.92692895309739</v>
      </c>
      <c r="R19" s="2" t="n">
        <v>2.2071902093819</v>
      </c>
      <c r="S19" s="2" t="n">
        <v>0.00236824922988157</v>
      </c>
      <c r="T19" s="2" t="n">
        <v>1.76441848085665</v>
      </c>
      <c r="U19" s="2" t="n">
        <v>0.0220503597272872</v>
      </c>
      <c r="V19" s="2" t="n">
        <v>0.0125255426928421</v>
      </c>
      <c r="W19" s="2" t="n">
        <v>0.785214977587527</v>
      </c>
      <c r="X19" s="2" t="n">
        <v>0.224907230417712</v>
      </c>
      <c r="Y19" s="2" t="n">
        <v>0.0040217325498952</v>
      </c>
      <c r="Z19" s="2" t="n">
        <v>77.4263835918308</v>
      </c>
      <c r="AA19" s="2" t="n">
        <v>22.17705213469</v>
      </c>
      <c r="AB19" s="2" t="n">
        <v>0.396564273479141</v>
      </c>
    </row>
    <row r="20" customFormat="false" ht="15" hidden="false" customHeight="false" outlineLevel="0" collapsed="false">
      <c r="A20" s="2" t="s">
        <v>69</v>
      </c>
      <c r="B20" s="2" t="s">
        <v>29</v>
      </c>
      <c r="C20" s="2" t="n">
        <v>2009</v>
      </c>
      <c r="D20" s="2" t="s">
        <v>61</v>
      </c>
      <c r="E20" s="2" t="s">
        <v>31</v>
      </c>
      <c r="F20" s="2" t="n">
        <v>99</v>
      </c>
      <c r="G20" s="2" t="s">
        <v>70</v>
      </c>
      <c r="H20" s="2" t="n">
        <v>50.31</v>
      </c>
      <c r="I20" s="2" t="n">
        <v>0.1156</v>
      </c>
      <c r="J20" s="2" t="n">
        <v>31.65</v>
      </c>
      <c r="K20" s="2" t="n">
        <v>0.7172</v>
      </c>
      <c r="L20" s="2" t="n">
        <v>0.1959</v>
      </c>
      <c r="M20" s="2" t="n">
        <v>14.37</v>
      </c>
      <c r="N20" s="2" t="n">
        <v>3.49</v>
      </c>
      <c r="O20" s="2" t="n">
        <v>0.0886</v>
      </c>
      <c r="P20" s="2" t="n">
        <v>100.94</v>
      </c>
      <c r="Q20" s="2" t="n">
        <v>2.93713687183713</v>
      </c>
      <c r="R20" s="2" t="n">
        <v>2.2806638647075</v>
      </c>
      <c r="S20" s="2" t="n">
        <v>0.00394245858461066</v>
      </c>
      <c r="T20" s="2" t="n">
        <v>1.69096814178404</v>
      </c>
      <c r="U20" s="2" t="n">
        <v>0.027190398861309</v>
      </c>
      <c r="V20" s="2" t="n">
        <v>0.013238905663639</v>
      </c>
      <c r="W20" s="2" t="n">
        <v>0.697971674318734</v>
      </c>
      <c r="X20" s="2" t="n">
        <v>0.306744411716737</v>
      </c>
      <c r="Y20" s="2" t="n">
        <v>0.00512391207531271</v>
      </c>
      <c r="Z20" s="2" t="n">
        <v>69.1170557340276</v>
      </c>
      <c r="AA20" s="2" t="n">
        <v>30.3755458578188</v>
      </c>
      <c r="AB20" s="2" t="n">
        <v>0.507398408153625</v>
      </c>
    </row>
    <row r="21" customFormat="false" ht="15" hidden="false" customHeight="false" outlineLevel="0" collapsed="false">
      <c r="A21" s="2" t="s">
        <v>71</v>
      </c>
      <c r="B21" s="2" t="s">
        <v>44</v>
      </c>
      <c r="C21" s="2" t="n">
        <v>2009</v>
      </c>
      <c r="D21" s="2" t="s">
        <v>61</v>
      </c>
      <c r="E21" s="2" t="s">
        <v>31</v>
      </c>
      <c r="F21" s="2" t="n">
        <v>100</v>
      </c>
      <c r="G21" s="2" t="s">
        <v>72</v>
      </c>
      <c r="H21" s="2" t="n">
        <v>48.19</v>
      </c>
      <c r="I21" s="2" t="n">
        <v>0.0729</v>
      </c>
      <c r="J21" s="2" t="n">
        <v>33.15</v>
      </c>
      <c r="K21" s="2" t="n">
        <v>0.6406</v>
      </c>
      <c r="L21" s="2" t="n">
        <v>0.1525</v>
      </c>
      <c r="M21" s="2" t="n">
        <v>16.37</v>
      </c>
      <c r="N21" s="2" t="n">
        <v>2.42</v>
      </c>
      <c r="O21" s="2" t="n">
        <v>0.0454</v>
      </c>
      <c r="P21" s="2" t="n">
        <v>101.04</v>
      </c>
      <c r="Q21" s="2" t="n">
        <v>2.92543391354073</v>
      </c>
      <c r="R21" s="2" t="n">
        <v>2.19329871477003</v>
      </c>
      <c r="S21" s="2" t="n">
        <v>0.00249615027558992</v>
      </c>
      <c r="T21" s="2" t="n">
        <v>1.7781939874678</v>
      </c>
      <c r="U21" s="2" t="n">
        <v>0.0243835045569793</v>
      </c>
      <c r="V21" s="2" t="n">
        <v>0.0103471653391694</v>
      </c>
      <c r="W21" s="2" t="n">
        <v>0.798295356233558</v>
      </c>
      <c r="X21" s="2" t="n">
        <v>0.213550450573727</v>
      </c>
      <c r="Y21" s="2" t="n">
        <v>0.00263607458097673</v>
      </c>
      <c r="Z21" s="2" t="n">
        <v>78.6899569996396</v>
      </c>
      <c r="AA21" s="2" t="n">
        <v>21.0501985783615</v>
      </c>
      <c r="AB21" s="2" t="n">
        <v>0.259844421998884</v>
      </c>
    </row>
    <row r="22" customFormat="false" ht="15" hidden="false" customHeight="false" outlineLevel="0" collapsed="false">
      <c r="A22" s="2" t="s">
        <v>73</v>
      </c>
      <c r="B22" s="2" t="s">
        <v>44</v>
      </c>
      <c r="C22" s="2" t="n">
        <v>2009</v>
      </c>
      <c r="D22" s="2" t="s">
        <v>61</v>
      </c>
      <c r="E22" s="2" t="s">
        <v>31</v>
      </c>
      <c r="F22" s="2" t="n">
        <v>101</v>
      </c>
      <c r="G22" s="2" t="s">
        <v>74</v>
      </c>
      <c r="H22" s="2" t="n">
        <v>47.71</v>
      </c>
      <c r="I22" s="2" t="n">
        <v>0.0749</v>
      </c>
      <c r="J22" s="2" t="n">
        <v>32.79</v>
      </c>
      <c r="K22" s="2" t="n">
        <v>0.6709</v>
      </c>
      <c r="L22" s="2" t="n">
        <v>0.1484</v>
      </c>
      <c r="M22" s="2" t="n">
        <v>16.19</v>
      </c>
      <c r="N22" s="2" t="n">
        <v>2.34</v>
      </c>
      <c r="O22" s="2" t="n">
        <v>0.0463</v>
      </c>
      <c r="P22" s="2" t="n">
        <v>99.97</v>
      </c>
      <c r="Q22" s="2" t="n">
        <v>2.89474302443336</v>
      </c>
      <c r="R22" s="2" t="n">
        <v>2.19447455744103</v>
      </c>
      <c r="S22" s="2" t="n">
        <v>0.00259182272024556</v>
      </c>
      <c r="T22" s="2" t="n">
        <v>1.77753146451061</v>
      </c>
      <c r="U22" s="2" t="n">
        <v>0.0258075785938353</v>
      </c>
      <c r="V22" s="2" t="n">
        <v>0.0101757334373508</v>
      </c>
      <c r="W22" s="2" t="n">
        <v>0.797888210294278</v>
      </c>
      <c r="X22" s="2" t="n">
        <v>0.208680207149988</v>
      </c>
      <c r="Y22" s="2" t="n">
        <v>0.00271683402216326</v>
      </c>
      <c r="Z22" s="2" t="n">
        <v>79.0547775403431</v>
      </c>
      <c r="AA22" s="2" t="n">
        <v>20.6760384982133</v>
      </c>
      <c r="AB22" s="2" t="n">
        <v>0.269183961443593</v>
      </c>
    </row>
    <row r="23" customFormat="false" ht="15" hidden="false" customHeight="false" outlineLevel="0" collapsed="false">
      <c r="A23" s="2" t="s">
        <v>75</v>
      </c>
      <c r="B23" s="2" t="s">
        <v>44</v>
      </c>
      <c r="C23" s="2" t="n">
        <v>2009</v>
      </c>
      <c r="D23" s="2" t="s">
        <v>61</v>
      </c>
      <c r="E23" s="2" t="s">
        <v>31</v>
      </c>
      <c r="F23" s="2" t="n">
        <v>102</v>
      </c>
      <c r="G23" s="2" t="s">
        <v>76</v>
      </c>
      <c r="H23" s="2" t="n">
        <v>52.96</v>
      </c>
      <c r="I23" s="2" t="n">
        <v>0.1842</v>
      </c>
      <c r="J23" s="2" t="n">
        <v>29.17</v>
      </c>
      <c r="K23" s="2" t="n">
        <v>1.0268</v>
      </c>
      <c r="L23" s="2" t="n">
        <v>0.22</v>
      </c>
      <c r="M23" s="2" t="n">
        <v>12.34</v>
      </c>
      <c r="N23" s="2" t="n">
        <v>4.55</v>
      </c>
      <c r="O23" s="2" t="n">
        <v>0.1715</v>
      </c>
      <c r="P23" s="2" t="n">
        <v>100.63</v>
      </c>
      <c r="Q23" s="2" t="n">
        <v>2.94078525785668</v>
      </c>
      <c r="R23" s="2" t="n">
        <v>2.39781577682081</v>
      </c>
      <c r="S23" s="2" t="n">
        <v>0.00627422088817912</v>
      </c>
      <c r="T23" s="2" t="n">
        <v>1.55653543847796</v>
      </c>
      <c r="U23" s="2" t="n">
        <v>0.0388796216666685</v>
      </c>
      <c r="V23" s="2" t="n">
        <v>0.0148491366903032</v>
      </c>
      <c r="W23" s="2" t="n">
        <v>0.598628049398651</v>
      </c>
      <c r="X23" s="2" t="n">
        <v>0.399414200925124</v>
      </c>
      <c r="Y23" s="2" t="n">
        <v>0.00990587729381173</v>
      </c>
      <c r="Z23" s="2" t="n">
        <v>59.3907596032332</v>
      </c>
      <c r="AA23" s="2" t="n">
        <v>39.6264639003984</v>
      </c>
      <c r="AB23" s="2" t="n">
        <v>0.982776496368472</v>
      </c>
    </row>
    <row r="24" customFormat="false" ht="15" hidden="false" customHeight="false" outlineLevel="0" collapsed="false">
      <c r="A24" s="2" t="s">
        <v>77</v>
      </c>
      <c r="B24" s="2" t="s">
        <v>44</v>
      </c>
      <c r="C24" s="2" t="n">
        <v>2009</v>
      </c>
      <c r="D24" s="2" t="s">
        <v>61</v>
      </c>
      <c r="E24" s="2" t="s">
        <v>31</v>
      </c>
      <c r="F24" s="2" t="n">
        <v>103</v>
      </c>
      <c r="G24" s="2" t="s">
        <v>78</v>
      </c>
      <c r="H24" s="2" t="n">
        <v>51.41</v>
      </c>
      <c r="I24" s="2" t="n">
        <v>0.1326</v>
      </c>
      <c r="J24" s="2" t="n">
        <v>30.61</v>
      </c>
      <c r="K24" s="2" t="n">
        <v>0.827</v>
      </c>
      <c r="L24" s="2" t="n">
        <v>0.2215</v>
      </c>
      <c r="M24" s="2" t="n">
        <v>13.71</v>
      </c>
      <c r="N24" s="2" t="n">
        <v>3.84</v>
      </c>
      <c r="O24" s="2" t="n">
        <v>0.1076</v>
      </c>
      <c r="P24" s="2" t="n">
        <v>100.86</v>
      </c>
      <c r="Q24" s="2" t="n">
        <v>2.93982079614474</v>
      </c>
      <c r="R24" s="2" t="n">
        <v>2.32840163545808</v>
      </c>
      <c r="S24" s="2" t="n">
        <v>0.00451810331132018</v>
      </c>
      <c r="T24" s="2" t="n">
        <v>1.6339108934344</v>
      </c>
      <c r="U24" s="2" t="n">
        <v>0.0313244990668098</v>
      </c>
      <c r="V24" s="2" t="n">
        <v>0.0149552855485952</v>
      </c>
      <c r="W24" s="2" t="n">
        <v>0.665306570135721</v>
      </c>
      <c r="X24" s="2" t="n">
        <v>0.337198616774949</v>
      </c>
      <c r="Y24" s="2" t="n">
        <v>0.00621703834198829</v>
      </c>
      <c r="Z24" s="2" t="n">
        <v>65.9553793383584</v>
      </c>
      <c r="AA24" s="2" t="n">
        <v>33.4282925798021</v>
      </c>
      <c r="AB24" s="2" t="n">
        <v>0.616328081839486</v>
      </c>
    </row>
    <row r="25" customFormat="false" ht="15" hidden="false" customHeight="false" outlineLevel="0" collapsed="false">
      <c r="A25" s="2" t="s">
        <v>79</v>
      </c>
      <c r="B25" s="2" t="s">
        <v>29</v>
      </c>
      <c r="C25" s="2" t="n">
        <v>2009</v>
      </c>
      <c r="D25" s="2" t="s">
        <v>61</v>
      </c>
      <c r="E25" s="2" t="s">
        <v>31</v>
      </c>
      <c r="F25" s="2" t="n">
        <v>104</v>
      </c>
      <c r="G25" s="2" t="s">
        <v>80</v>
      </c>
      <c r="H25" s="2" t="n">
        <v>48.29</v>
      </c>
      <c r="I25" s="2" t="n">
        <v>0.0646</v>
      </c>
      <c r="J25" s="2" t="n">
        <v>33.03</v>
      </c>
      <c r="K25" s="2" t="n">
        <v>0.5619</v>
      </c>
      <c r="L25" s="2" t="n">
        <v>0.1779</v>
      </c>
      <c r="M25" s="2" t="n">
        <v>16.21</v>
      </c>
      <c r="N25" s="2" t="n">
        <v>2.43</v>
      </c>
      <c r="O25" s="2" t="n">
        <v>0.0515</v>
      </c>
      <c r="P25" s="2" t="n">
        <v>100.81</v>
      </c>
      <c r="Q25" s="2" t="n">
        <v>2.9219316402051</v>
      </c>
      <c r="R25" s="2" t="n">
        <v>2.20048444905633</v>
      </c>
      <c r="S25" s="2" t="n">
        <v>0.00221460337672398</v>
      </c>
      <c r="T25" s="2" t="n">
        <v>1.77388074213541</v>
      </c>
      <c r="U25" s="2" t="n">
        <v>0.021413539735442</v>
      </c>
      <c r="V25" s="2" t="n">
        <v>0.0120850300239613</v>
      </c>
      <c r="W25" s="2" t="n">
        <v>0.791440333130017</v>
      </c>
      <c r="X25" s="2" t="n">
        <v>0.214689913095706</v>
      </c>
      <c r="Y25" s="2" t="n">
        <v>0.00299384498698229</v>
      </c>
      <c r="Z25" s="2" t="n">
        <v>78.4284450269056</v>
      </c>
      <c r="AA25" s="2" t="n">
        <v>21.2748773877457</v>
      </c>
      <c r="AB25" s="2" t="n">
        <v>0.296677585348742</v>
      </c>
    </row>
    <row r="26" customFormat="false" ht="15" hidden="false" customHeight="false" outlineLevel="0" collapsed="false">
      <c r="A26" s="2" t="s">
        <v>81</v>
      </c>
      <c r="B26" s="2" t="s">
        <v>29</v>
      </c>
      <c r="C26" s="2" t="n">
        <v>2009</v>
      </c>
      <c r="D26" s="2" t="s">
        <v>61</v>
      </c>
      <c r="E26" s="2" t="s">
        <v>31</v>
      </c>
      <c r="F26" s="2" t="n">
        <v>105</v>
      </c>
      <c r="G26" s="2" t="s">
        <v>82</v>
      </c>
      <c r="H26" s="2" t="n">
        <v>46.72</v>
      </c>
      <c r="I26" s="2" t="n">
        <v>0.0407</v>
      </c>
      <c r="J26" s="2" t="n">
        <v>34.11</v>
      </c>
      <c r="K26" s="2" t="n">
        <v>0.5356</v>
      </c>
      <c r="L26" s="2" t="n">
        <v>0.1473</v>
      </c>
      <c r="M26" s="2" t="n">
        <v>17.18</v>
      </c>
      <c r="N26" s="2" t="n">
        <v>1.87</v>
      </c>
      <c r="O26" s="2" t="n">
        <v>0.0276</v>
      </c>
      <c r="P26" s="2" t="n">
        <v>100.63</v>
      </c>
      <c r="Q26" s="2" t="n">
        <v>2.90773311312467</v>
      </c>
      <c r="R26" s="2" t="n">
        <v>2.13933817756949</v>
      </c>
      <c r="S26" s="2" t="n">
        <v>0.00140208181973448</v>
      </c>
      <c r="T26" s="2" t="n">
        <v>1.84082741528255</v>
      </c>
      <c r="U26" s="2" t="n">
        <v>0.0205109373899816</v>
      </c>
      <c r="V26" s="2" t="n">
        <v>0.0100551844469287</v>
      </c>
      <c r="W26" s="2" t="n">
        <v>0.842895688785311</v>
      </c>
      <c r="X26" s="2" t="n">
        <v>0.166020792313927</v>
      </c>
      <c r="Y26" s="2" t="n">
        <v>0.00161230303705714</v>
      </c>
      <c r="Z26" s="2" t="n">
        <v>83.4113487925768</v>
      </c>
      <c r="AA26" s="2" t="n">
        <v>16.4291007757712</v>
      </c>
      <c r="AB26" s="2" t="n">
        <v>0.159550431651998</v>
      </c>
    </row>
    <row r="27" customFormat="false" ht="15" hidden="false" customHeight="false" outlineLevel="0" collapsed="false">
      <c r="A27" s="2" t="s">
        <v>83</v>
      </c>
      <c r="B27" s="2" t="s">
        <v>29</v>
      </c>
      <c r="C27" s="2" t="n">
        <v>2009</v>
      </c>
      <c r="D27" s="2" t="s">
        <v>61</v>
      </c>
      <c r="E27" s="2" t="s">
        <v>31</v>
      </c>
      <c r="F27" s="2" t="n">
        <v>106</v>
      </c>
      <c r="G27" s="2" t="s">
        <v>84</v>
      </c>
      <c r="H27" s="2" t="n">
        <v>47.22</v>
      </c>
      <c r="I27" s="2" t="n">
        <v>0.0497</v>
      </c>
      <c r="J27" s="2" t="n">
        <v>33.9</v>
      </c>
      <c r="K27" s="2" t="n">
        <v>0.5236</v>
      </c>
      <c r="L27" s="2" t="n">
        <v>0.1511</v>
      </c>
      <c r="M27" s="2" t="n">
        <v>17.06</v>
      </c>
      <c r="N27" s="2" t="n">
        <v>1.95</v>
      </c>
      <c r="O27" s="2" t="n">
        <v>0.0381</v>
      </c>
      <c r="P27" s="2" t="n">
        <v>100.9</v>
      </c>
      <c r="Q27" s="2" t="n">
        <v>2.91761259710727</v>
      </c>
      <c r="R27" s="2" t="n">
        <v>2.15491183755564</v>
      </c>
      <c r="S27" s="2" t="n">
        <v>0.00170632696633913</v>
      </c>
      <c r="T27" s="2" t="n">
        <v>1.82329931663825</v>
      </c>
      <c r="U27" s="2" t="n">
        <v>0.0199834972582756</v>
      </c>
      <c r="V27" s="2" t="n">
        <v>0.0102796582284919</v>
      </c>
      <c r="W27" s="2" t="n">
        <v>0.834173937116811</v>
      </c>
      <c r="X27" s="2" t="n">
        <v>0.172537064088992</v>
      </c>
      <c r="Y27" s="2" t="n">
        <v>0.00221814270116705</v>
      </c>
      <c r="Z27" s="2" t="n">
        <v>82.6791397745298</v>
      </c>
      <c r="AA27" s="2" t="n">
        <v>17.1010090382423</v>
      </c>
      <c r="AB27" s="2" t="n">
        <v>0.219851187227829</v>
      </c>
    </row>
    <row r="28" customFormat="false" ht="15" hidden="false" customHeight="false" outlineLevel="0" collapsed="false">
      <c r="A28" s="2" t="s">
        <v>85</v>
      </c>
      <c r="B28" s="2" t="s">
        <v>29</v>
      </c>
      <c r="C28" s="2" t="n">
        <v>2009</v>
      </c>
      <c r="D28" s="2" t="s">
        <v>61</v>
      </c>
      <c r="E28" s="2" t="s">
        <v>31</v>
      </c>
      <c r="F28" s="2" t="n">
        <v>107</v>
      </c>
      <c r="G28" s="2" t="s">
        <v>86</v>
      </c>
      <c r="H28" s="2" t="n">
        <v>50.35</v>
      </c>
      <c r="I28" s="2" t="n">
        <v>0.1108</v>
      </c>
      <c r="J28" s="2" t="n">
        <v>31.35</v>
      </c>
      <c r="K28" s="2" t="n">
        <v>0.6983</v>
      </c>
      <c r="L28" s="2" t="n">
        <v>0.2212</v>
      </c>
      <c r="M28" s="2" t="n">
        <v>14.58</v>
      </c>
      <c r="N28" s="2" t="n">
        <v>3.38</v>
      </c>
      <c r="O28" s="2" t="n">
        <v>0.0726</v>
      </c>
      <c r="P28" s="2" t="n">
        <v>100.77</v>
      </c>
      <c r="Q28" s="2" t="n">
        <v>2.93168608888483</v>
      </c>
      <c r="R28" s="2" t="n">
        <v>2.28672088455229</v>
      </c>
      <c r="S28" s="2" t="n">
        <v>0.00378578359649245</v>
      </c>
      <c r="T28" s="2" t="n">
        <v>1.67805416599559</v>
      </c>
      <c r="U28" s="2" t="n">
        <v>0.0265230863122005</v>
      </c>
      <c r="V28" s="2" t="n">
        <v>0.0149764711150518</v>
      </c>
      <c r="W28" s="2" t="n">
        <v>0.709488357115178</v>
      </c>
      <c r="X28" s="2" t="n">
        <v>0.297628593380115</v>
      </c>
      <c r="Y28" s="2" t="n">
        <v>0.0042064069531232</v>
      </c>
      <c r="Z28" s="2" t="n">
        <v>70.1544517774441</v>
      </c>
      <c r="AA28" s="2" t="n">
        <v>29.4296172621817</v>
      </c>
      <c r="AB28" s="2" t="n">
        <v>0.41593096037414</v>
      </c>
    </row>
    <row r="29" customFormat="false" ht="15" hidden="false" customHeight="false" outlineLevel="0" collapsed="false">
      <c r="A29" s="2" t="s">
        <v>87</v>
      </c>
      <c r="B29" s="2" t="s">
        <v>29</v>
      </c>
      <c r="C29" s="2" t="n">
        <v>2009</v>
      </c>
      <c r="D29" s="2" t="s">
        <v>61</v>
      </c>
      <c r="E29" s="2" t="s">
        <v>31</v>
      </c>
      <c r="F29" s="2" t="n">
        <v>108</v>
      </c>
      <c r="G29" s="2" t="s">
        <v>88</v>
      </c>
      <c r="H29" s="2" t="n">
        <v>45.99</v>
      </c>
      <c r="I29" s="2" t="n">
        <v>0.0353</v>
      </c>
      <c r="J29" s="2" t="n">
        <v>34.84</v>
      </c>
      <c r="K29" s="2" t="n">
        <v>0.4995</v>
      </c>
      <c r="L29" s="2" t="n">
        <v>0.1077</v>
      </c>
      <c r="M29" s="2" t="n">
        <v>17.81</v>
      </c>
      <c r="N29" s="2" t="n">
        <v>1.4</v>
      </c>
      <c r="O29" s="2" t="n">
        <v>0.0327</v>
      </c>
      <c r="P29" s="2" t="n">
        <v>100.71</v>
      </c>
      <c r="Q29" s="2" t="n">
        <v>2.90699784283266</v>
      </c>
      <c r="R29" s="2" t="n">
        <v>2.10644366902952</v>
      </c>
      <c r="S29" s="2" t="n">
        <v>0.00121636380052241</v>
      </c>
      <c r="T29" s="2" t="n">
        <v>1.88069917157775</v>
      </c>
      <c r="U29" s="2" t="n">
        <v>0.0191333169525854</v>
      </c>
      <c r="V29" s="2" t="n">
        <v>0.00735381721004175</v>
      </c>
      <c r="W29" s="2" t="n">
        <v>0.874026147414634</v>
      </c>
      <c r="X29" s="2" t="n">
        <v>0.124325079037518</v>
      </c>
      <c r="Y29" s="2" t="n">
        <v>0.00191071175455847</v>
      </c>
      <c r="Z29" s="2" t="n">
        <v>87.3797266525612</v>
      </c>
      <c r="AA29" s="2" t="n">
        <v>12.4292522077178</v>
      </c>
      <c r="AB29" s="2" t="n">
        <v>0.191021139721065</v>
      </c>
    </row>
    <row r="30" customFormat="false" ht="15" hidden="false" customHeight="false" outlineLevel="0" collapsed="false">
      <c r="A30" s="2" t="s">
        <v>89</v>
      </c>
      <c r="B30" s="2" t="s">
        <v>29</v>
      </c>
      <c r="C30" s="2" t="n">
        <v>2009</v>
      </c>
      <c r="D30" s="2" t="s">
        <v>61</v>
      </c>
      <c r="E30" s="2" t="s">
        <v>31</v>
      </c>
      <c r="F30" s="2" t="n">
        <v>109</v>
      </c>
      <c r="G30" s="2" t="s">
        <v>90</v>
      </c>
      <c r="H30" s="2" t="n">
        <v>48.32</v>
      </c>
      <c r="I30" s="2" t="n">
        <v>0.0638</v>
      </c>
      <c r="J30" s="2" t="n">
        <v>32.9</v>
      </c>
      <c r="K30" s="2" t="n">
        <v>0.5876</v>
      </c>
      <c r="L30" s="2" t="n">
        <v>0.1781</v>
      </c>
      <c r="M30" s="2" t="n">
        <v>16.3</v>
      </c>
      <c r="N30" s="2" t="n">
        <v>2.44</v>
      </c>
      <c r="O30" s="2" t="n">
        <v>0.0517</v>
      </c>
      <c r="P30" s="2" t="n">
        <v>100.85</v>
      </c>
      <c r="Q30" s="2" t="n">
        <v>2.92121630253331</v>
      </c>
      <c r="R30" s="2" t="n">
        <v>2.20239067464011</v>
      </c>
      <c r="S30" s="2" t="n">
        <v>0.00218771353672616</v>
      </c>
      <c r="T30" s="2" t="n">
        <v>1.76733174639363</v>
      </c>
      <c r="U30" s="2" t="n">
        <v>0.0223984287818681</v>
      </c>
      <c r="V30" s="2" t="n">
        <v>0.0121015790108242</v>
      </c>
      <c r="W30" s="2" t="n">
        <v>0.796029392705649</v>
      </c>
      <c r="X30" s="2" t="n">
        <v>0.215626199575814</v>
      </c>
      <c r="Y30" s="2" t="n">
        <v>0.00300620753927558</v>
      </c>
      <c r="Z30" s="2" t="n">
        <v>78.452681755269</v>
      </c>
      <c r="AA30" s="2" t="n">
        <v>21.2510414419769</v>
      </c>
      <c r="AB30" s="2" t="n">
        <v>0.29627680275405</v>
      </c>
    </row>
    <row r="31" customFormat="false" ht="15" hidden="false" customHeight="false" outlineLevel="0" collapsed="false">
      <c r="A31" s="2" t="s">
        <v>91</v>
      </c>
      <c r="B31" s="2" t="s">
        <v>29</v>
      </c>
      <c r="C31" s="2" t="n">
        <v>2009</v>
      </c>
      <c r="D31" s="2" t="s">
        <v>61</v>
      </c>
      <c r="E31" s="2" t="s">
        <v>31</v>
      </c>
      <c r="F31" s="2" t="n">
        <v>110</v>
      </c>
      <c r="G31" s="2" t="s">
        <v>92</v>
      </c>
      <c r="H31" s="2" t="n">
        <v>48.19</v>
      </c>
      <c r="I31" s="2" t="n">
        <v>0.0791</v>
      </c>
      <c r="J31" s="2" t="n">
        <v>33.2</v>
      </c>
      <c r="K31" s="2" t="n">
        <v>0.5656</v>
      </c>
      <c r="L31" s="2" t="n">
        <v>0.1801</v>
      </c>
      <c r="M31" s="2" t="n">
        <v>16.18</v>
      </c>
      <c r="N31" s="2" t="n">
        <v>2.39</v>
      </c>
      <c r="O31" s="2" t="n">
        <v>0.0444</v>
      </c>
      <c r="P31" s="2" t="n">
        <v>100.83</v>
      </c>
      <c r="Q31" s="2" t="n">
        <v>2.92281834376158</v>
      </c>
      <c r="R31" s="2" t="n">
        <v>2.1952614524979</v>
      </c>
      <c r="S31" s="2" t="n">
        <v>0.00271086662123481</v>
      </c>
      <c r="T31" s="2" t="n">
        <v>1.78246969886475</v>
      </c>
      <c r="U31" s="2" t="n">
        <v>0.0215480045833787</v>
      </c>
      <c r="V31" s="2" t="n">
        <v>0.0122307679157856</v>
      </c>
      <c r="W31" s="2" t="n">
        <v>0.789735949931218</v>
      </c>
      <c r="X31" s="2" t="n">
        <v>0.211091863795208</v>
      </c>
      <c r="Y31" s="2" t="n">
        <v>0.00258031827325911</v>
      </c>
      <c r="Z31" s="2" t="n">
        <v>78.7053567482415</v>
      </c>
      <c r="AA31" s="2" t="n">
        <v>21.0374878440066</v>
      </c>
      <c r="AB31" s="2" t="n">
        <v>0.25715540775186</v>
      </c>
    </row>
    <row r="32" customFormat="false" ht="15" hidden="false" customHeight="false" outlineLevel="0" collapsed="false">
      <c r="A32" s="2" t="s">
        <v>93</v>
      </c>
      <c r="B32" s="2" t="s">
        <v>29</v>
      </c>
      <c r="C32" s="2" t="n">
        <v>2009</v>
      </c>
      <c r="D32" s="2" t="s">
        <v>61</v>
      </c>
      <c r="E32" s="2" t="s">
        <v>31</v>
      </c>
      <c r="F32" s="2" t="n">
        <v>111</v>
      </c>
      <c r="G32" s="2" t="s">
        <v>94</v>
      </c>
      <c r="H32" s="2" t="n">
        <v>49.19</v>
      </c>
      <c r="I32" s="2" t="n">
        <v>0.0836</v>
      </c>
      <c r="J32" s="2" t="n">
        <v>32.43</v>
      </c>
      <c r="K32" s="2" t="n">
        <v>0.5992</v>
      </c>
      <c r="L32" s="2" t="n">
        <v>0.1771</v>
      </c>
      <c r="M32" s="2" t="n">
        <v>15.35</v>
      </c>
      <c r="N32" s="2" t="n">
        <v>2.85</v>
      </c>
      <c r="O32" s="2" t="n">
        <v>0.0574</v>
      </c>
      <c r="P32" s="2" t="n">
        <v>100.74</v>
      </c>
      <c r="Q32" s="2" t="n">
        <v>2.92671409338241</v>
      </c>
      <c r="R32" s="2" t="n">
        <v>2.23783299679229</v>
      </c>
      <c r="S32" s="2" t="n">
        <v>0.00286127413866022</v>
      </c>
      <c r="T32" s="2" t="n">
        <v>1.73881166968788</v>
      </c>
      <c r="U32" s="2" t="n">
        <v>0.0227976975970517</v>
      </c>
      <c r="V32" s="2" t="n">
        <v>0.0120110257805611</v>
      </c>
      <c r="W32" s="2" t="n">
        <v>0.748226862820309</v>
      </c>
      <c r="X32" s="2" t="n">
        <v>0.25138535825635</v>
      </c>
      <c r="Y32" s="2" t="n">
        <v>0.00333137656038977</v>
      </c>
      <c r="Z32" s="2" t="n">
        <v>74.6030848178445</v>
      </c>
      <c r="AA32" s="2" t="n">
        <v>25.0647552712454</v>
      </c>
      <c r="AB32" s="2" t="n">
        <v>0.3321599109101</v>
      </c>
    </row>
    <row r="33" customFormat="false" ht="15" hidden="false" customHeight="false" outlineLevel="0" collapsed="false">
      <c r="A33" s="2" t="s">
        <v>95</v>
      </c>
      <c r="B33" s="2" t="s">
        <v>29</v>
      </c>
      <c r="C33" s="2" t="n">
        <v>2009</v>
      </c>
      <c r="D33" s="2" t="s">
        <v>61</v>
      </c>
      <c r="E33" s="2" t="s">
        <v>31</v>
      </c>
      <c r="F33" s="2" t="n">
        <v>112</v>
      </c>
      <c r="G33" s="2" t="s">
        <v>96</v>
      </c>
      <c r="H33" s="2" t="n">
        <v>47.97</v>
      </c>
      <c r="I33" s="2" t="n">
        <v>0.0565</v>
      </c>
      <c r="J33" s="2" t="n">
        <v>33.26</v>
      </c>
      <c r="K33" s="2" t="n">
        <v>0.5661</v>
      </c>
      <c r="L33" s="2" t="n">
        <v>0.1804</v>
      </c>
      <c r="M33" s="2" t="n">
        <v>16.52</v>
      </c>
      <c r="N33" s="2" t="n">
        <v>2.25</v>
      </c>
      <c r="O33" s="2" t="n">
        <v>0.0399</v>
      </c>
      <c r="P33" s="2" t="n">
        <v>100.84</v>
      </c>
      <c r="Q33" s="2" t="n">
        <v>2.92046558050703</v>
      </c>
      <c r="R33" s="2" t="n">
        <v>2.18699996372669</v>
      </c>
      <c r="S33" s="2" t="n">
        <v>0.00193789323497926</v>
      </c>
      <c r="T33" s="2" t="n">
        <v>1.787129604463</v>
      </c>
      <c r="U33" s="2" t="n">
        <v>0.021584428070578</v>
      </c>
      <c r="V33" s="2" t="n">
        <v>0.0122610108816253</v>
      </c>
      <c r="W33" s="2" t="n">
        <v>0.80698073330458</v>
      </c>
      <c r="X33" s="2" t="n">
        <v>0.198886746667772</v>
      </c>
      <c r="Y33" s="2" t="n">
        <v>0.00232066758297716</v>
      </c>
      <c r="Z33" s="2" t="n">
        <v>80.0426721204133</v>
      </c>
      <c r="AA33" s="2" t="n">
        <v>19.7271458854218</v>
      </c>
      <c r="AB33" s="2" t="n">
        <v>0.230181994164914</v>
      </c>
    </row>
    <row r="34" customFormat="false" ht="15" hidden="false" customHeight="false" outlineLevel="0" collapsed="false">
      <c r="A34" s="2" t="s">
        <v>97</v>
      </c>
      <c r="B34" s="2" t="s">
        <v>29</v>
      </c>
      <c r="C34" s="2" t="n">
        <v>2009</v>
      </c>
      <c r="D34" s="2" t="s">
        <v>61</v>
      </c>
      <c r="E34" s="2" t="s">
        <v>31</v>
      </c>
      <c r="F34" s="2" t="n">
        <v>113</v>
      </c>
      <c r="G34" s="2" t="s">
        <v>98</v>
      </c>
      <c r="H34" s="2" t="n">
        <v>49.97</v>
      </c>
      <c r="I34" s="2" t="n">
        <v>0.099</v>
      </c>
      <c r="J34" s="2" t="n">
        <v>31.91</v>
      </c>
      <c r="K34" s="2" t="n">
        <v>0.6421</v>
      </c>
      <c r="L34" s="2" t="n">
        <v>0.204</v>
      </c>
      <c r="M34" s="2" t="n">
        <v>14.98</v>
      </c>
      <c r="N34" s="2" t="n">
        <v>3.04</v>
      </c>
      <c r="O34" s="2" t="n">
        <v>0.0629</v>
      </c>
      <c r="P34" s="2" t="n">
        <v>100.92</v>
      </c>
      <c r="Q34" s="2" t="n">
        <v>2.93555385554446</v>
      </c>
      <c r="R34" s="2" t="n">
        <v>2.26647246186162</v>
      </c>
      <c r="S34" s="2" t="n">
        <v>0.00337814769458954</v>
      </c>
      <c r="T34" s="2" t="n">
        <v>1.70577854757143</v>
      </c>
      <c r="U34" s="2" t="n">
        <v>0.0243563440639331</v>
      </c>
      <c r="V34" s="2" t="n">
        <v>0.0137937373407037</v>
      </c>
      <c r="W34" s="2" t="n">
        <v>0.727992619295896</v>
      </c>
      <c r="X34" s="2" t="n">
        <v>0.267336925462475</v>
      </c>
      <c r="Y34" s="2" t="n">
        <v>0.00363959219736533</v>
      </c>
      <c r="Z34" s="2" t="n">
        <v>72.8743854404136</v>
      </c>
      <c r="AA34" s="2" t="n">
        <v>26.7612797605699</v>
      </c>
      <c r="AB34" s="2" t="n">
        <v>0.364334799016579</v>
      </c>
    </row>
    <row r="35" customFormat="false" ht="15" hidden="false" customHeight="false" outlineLevel="0" collapsed="false">
      <c r="A35" s="2" t="s">
        <v>99</v>
      </c>
      <c r="B35" s="2" t="s">
        <v>29</v>
      </c>
      <c r="C35" s="2" t="n">
        <v>2009</v>
      </c>
      <c r="D35" s="2" t="s">
        <v>61</v>
      </c>
      <c r="E35" s="2" t="s">
        <v>31</v>
      </c>
      <c r="F35" s="2" t="n">
        <v>114</v>
      </c>
      <c r="G35" s="2" t="s">
        <v>100</v>
      </c>
      <c r="H35" s="2" t="n">
        <v>47.44</v>
      </c>
      <c r="I35" s="2" t="n">
        <v>0.0642</v>
      </c>
      <c r="J35" s="2" t="n">
        <v>33.6</v>
      </c>
      <c r="K35" s="2" t="n">
        <v>0.5953</v>
      </c>
      <c r="L35" s="2" t="n">
        <v>0.1466</v>
      </c>
      <c r="M35" s="2" t="n">
        <v>16.69</v>
      </c>
      <c r="N35" s="2" t="n">
        <v>2.16</v>
      </c>
      <c r="O35" s="2" t="n">
        <v>0.0369</v>
      </c>
      <c r="P35" s="2" t="n">
        <v>100.74</v>
      </c>
      <c r="Q35" s="2" t="n">
        <v>2.91413566504907</v>
      </c>
      <c r="R35" s="2" t="n">
        <v>2.16753472487397</v>
      </c>
      <c r="S35" s="2" t="n">
        <v>0.00220677854500223</v>
      </c>
      <c r="T35" s="2" t="n">
        <v>1.80932009935808</v>
      </c>
      <c r="U35" s="2" t="n">
        <v>0.0227470770795246</v>
      </c>
      <c r="V35" s="2" t="n">
        <v>0.00998541320450633</v>
      </c>
      <c r="W35" s="2" t="n">
        <v>0.817055928996689</v>
      </c>
      <c r="X35" s="2" t="n">
        <v>0.191346006580091</v>
      </c>
      <c r="Y35" s="2" t="n">
        <v>0.00215084310833433</v>
      </c>
      <c r="Z35" s="2" t="n">
        <v>80.8523756730257</v>
      </c>
      <c r="AA35" s="2" t="n">
        <v>18.9347860513591</v>
      </c>
      <c r="AB35" s="2" t="n">
        <v>0.212838275615145</v>
      </c>
    </row>
    <row r="36" customFormat="false" ht="15" hidden="false" customHeight="false" outlineLevel="0" collapsed="false">
      <c r="A36" s="2" t="s">
        <v>101</v>
      </c>
      <c r="B36" s="2" t="s">
        <v>29</v>
      </c>
      <c r="C36" s="2" t="n">
        <v>2009</v>
      </c>
      <c r="D36" s="2" t="s">
        <v>61</v>
      </c>
      <c r="E36" s="2" t="s">
        <v>31</v>
      </c>
      <c r="F36" s="2" t="n">
        <v>115</v>
      </c>
      <c r="G36" s="2" t="s">
        <v>102</v>
      </c>
      <c r="H36" s="2" t="n">
        <v>46.91</v>
      </c>
      <c r="I36" s="2" t="n">
        <v>0.068</v>
      </c>
      <c r="J36" s="2" t="n">
        <v>34.31</v>
      </c>
      <c r="K36" s="2" t="n">
        <v>0.5649</v>
      </c>
      <c r="L36" s="2" t="n">
        <v>0.1693</v>
      </c>
      <c r="M36" s="2" t="n">
        <v>16.7</v>
      </c>
      <c r="N36" s="2" t="n">
        <v>2.02</v>
      </c>
      <c r="O36" s="2" t="n">
        <v>0.0484</v>
      </c>
      <c r="P36" s="2" t="n">
        <v>100.8</v>
      </c>
      <c r="Q36" s="2" t="n">
        <v>2.91566086243941</v>
      </c>
      <c r="R36" s="2" t="n">
        <v>2.14219783096293</v>
      </c>
      <c r="S36" s="2" t="n">
        <v>0.00233617513084005</v>
      </c>
      <c r="T36" s="2" t="n">
        <v>1.84658629174534</v>
      </c>
      <c r="U36" s="2" t="n">
        <v>0.0215741677010121</v>
      </c>
      <c r="V36" s="2" t="n">
        <v>0.0115255534122269</v>
      </c>
      <c r="W36" s="2" t="n">
        <v>0.817117814887363</v>
      </c>
      <c r="X36" s="2" t="n">
        <v>0.178850344085033</v>
      </c>
      <c r="Y36" s="2" t="n">
        <v>0.00281968430268491</v>
      </c>
      <c r="Z36" s="2" t="n">
        <v>81.8109491809581</v>
      </c>
      <c r="AA36" s="2" t="n">
        <v>17.9067401840387</v>
      </c>
      <c r="AB36" s="2" t="n">
        <v>0.282310635003226</v>
      </c>
    </row>
    <row r="37" customFormat="false" ht="15" hidden="false" customHeight="false" outlineLevel="0" collapsed="false">
      <c r="A37" s="2" t="s">
        <v>103</v>
      </c>
      <c r="B37" s="2" t="s">
        <v>29</v>
      </c>
      <c r="C37" s="2" t="n">
        <v>2009</v>
      </c>
      <c r="D37" s="2" t="s">
        <v>61</v>
      </c>
      <c r="E37" s="2" t="s">
        <v>31</v>
      </c>
      <c r="F37" s="2" t="n">
        <v>116</v>
      </c>
      <c r="G37" s="2" t="s">
        <v>104</v>
      </c>
      <c r="H37" s="2" t="n">
        <v>48.55</v>
      </c>
      <c r="I37" s="2" t="n">
        <v>0.0724</v>
      </c>
      <c r="J37" s="2" t="n">
        <v>32.98</v>
      </c>
      <c r="K37" s="2" t="n">
        <v>0.6341</v>
      </c>
      <c r="L37" s="2" t="n">
        <v>0.1764</v>
      </c>
      <c r="M37" s="2" t="n">
        <v>16.08</v>
      </c>
      <c r="N37" s="2" t="n">
        <v>2.46</v>
      </c>
      <c r="O37" s="2" t="n">
        <v>0.0551</v>
      </c>
      <c r="P37" s="2" t="n">
        <v>101.01</v>
      </c>
      <c r="Q37" s="2" t="n">
        <v>2.92848211993107</v>
      </c>
      <c r="R37" s="2" t="n">
        <v>2.20738357685932</v>
      </c>
      <c r="S37" s="2" t="n">
        <v>0.00247644952397797</v>
      </c>
      <c r="T37" s="2" t="n">
        <v>1.76723364432535</v>
      </c>
      <c r="U37" s="2" t="n">
        <v>0.0241109686982801</v>
      </c>
      <c r="V37" s="2" t="n">
        <v>0.0119563285581422</v>
      </c>
      <c r="W37" s="2" t="n">
        <v>0.783337076628803</v>
      </c>
      <c r="X37" s="2" t="n">
        <v>0.216854255051079</v>
      </c>
      <c r="Y37" s="2" t="n">
        <v>0.00319595866923259</v>
      </c>
      <c r="Z37" s="2" t="n">
        <v>78.0692643970258</v>
      </c>
      <c r="AA37" s="2" t="n">
        <v>21.6122186454671</v>
      </c>
      <c r="AB37" s="2" t="n">
        <v>0.318516957507067</v>
      </c>
    </row>
    <row r="38" customFormat="false" ht="15" hidden="false" customHeight="false" outlineLevel="0" collapsed="false">
      <c r="A38" s="2" t="s">
        <v>105</v>
      </c>
      <c r="B38" s="2" t="s">
        <v>29</v>
      </c>
      <c r="C38" s="2" t="n">
        <v>2009</v>
      </c>
      <c r="D38" s="2" t="s">
        <v>61</v>
      </c>
      <c r="E38" s="2" t="s">
        <v>31</v>
      </c>
      <c r="F38" s="2" t="n">
        <v>117</v>
      </c>
      <c r="G38" s="2" t="s">
        <v>106</v>
      </c>
      <c r="H38" s="2" t="n">
        <v>47.88</v>
      </c>
      <c r="I38" s="2" t="n">
        <v>0.0658</v>
      </c>
      <c r="J38" s="2" t="n">
        <v>33.42</v>
      </c>
      <c r="K38" s="2" t="n">
        <v>0.6675</v>
      </c>
      <c r="L38" s="2" t="n">
        <v>0.1643</v>
      </c>
      <c r="M38" s="2" t="n">
        <v>16.61</v>
      </c>
      <c r="N38" s="2" t="n">
        <v>2.24</v>
      </c>
      <c r="O38" s="2" t="n">
        <v>0.0382</v>
      </c>
      <c r="P38" s="2" t="n">
        <v>101.09</v>
      </c>
      <c r="Q38" s="2" t="n">
        <v>2.92484782069749</v>
      </c>
      <c r="R38" s="2" t="n">
        <v>2.17962618432111</v>
      </c>
      <c r="S38" s="2" t="n">
        <v>0.00225349246296152</v>
      </c>
      <c r="T38" s="2" t="n">
        <v>1.79303623929538</v>
      </c>
      <c r="U38" s="2" t="n">
        <v>0.0254125050583628</v>
      </c>
      <c r="V38" s="2" t="n">
        <v>0.0111500323014661</v>
      </c>
      <c r="W38" s="2" t="n">
        <v>0.810161447559906</v>
      </c>
      <c r="X38" s="2" t="n">
        <v>0.197706141982254</v>
      </c>
      <c r="Y38" s="2" t="n">
        <v>0.00221846315585673</v>
      </c>
      <c r="Z38" s="2" t="n">
        <v>80.2071710025006</v>
      </c>
      <c r="AA38" s="2" t="n">
        <v>19.5731978928098</v>
      </c>
      <c r="AB38" s="2" t="n">
        <v>0.21963110468965</v>
      </c>
    </row>
    <row r="39" customFormat="false" ht="15" hidden="false" customHeight="false" outlineLevel="0" collapsed="false">
      <c r="A39" s="2" t="s">
        <v>107</v>
      </c>
      <c r="B39" s="2" t="s">
        <v>29</v>
      </c>
      <c r="C39" s="2" t="n">
        <v>2009</v>
      </c>
      <c r="D39" s="2" t="s">
        <v>61</v>
      </c>
      <c r="E39" s="2" t="s">
        <v>31</v>
      </c>
      <c r="F39" s="2" t="n">
        <v>118</v>
      </c>
      <c r="G39" s="2" t="s">
        <v>108</v>
      </c>
      <c r="H39" s="2" t="n">
        <v>48.46</v>
      </c>
      <c r="I39" s="2" t="n">
        <v>0.0642</v>
      </c>
      <c r="J39" s="2" t="n">
        <v>32.86</v>
      </c>
      <c r="K39" s="2" t="n">
        <v>0.6108</v>
      </c>
      <c r="L39" s="2" t="n">
        <v>0.1844</v>
      </c>
      <c r="M39" s="2" t="n">
        <v>16.22</v>
      </c>
      <c r="N39" s="2" t="n">
        <v>2.52</v>
      </c>
      <c r="O39" s="2" t="n">
        <v>0.0519</v>
      </c>
      <c r="P39" s="2" t="n">
        <v>100.97</v>
      </c>
      <c r="Q39" s="2" t="n">
        <v>2.92505504842004</v>
      </c>
      <c r="R39" s="2" t="n">
        <v>2.20587305413622</v>
      </c>
      <c r="S39" s="2" t="n">
        <v>0.00219854052535855</v>
      </c>
      <c r="T39" s="2" t="n">
        <v>1.76286644674812</v>
      </c>
      <c r="U39" s="2" t="n">
        <v>0.0232522223593487</v>
      </c>
      <c r="V39" s="2" t="n">
        <v>0.0125132093295978</v>
      </c>
      <c r="W39" s="2" t="n">
        <v>0.791082944506287</v>
      </c>
      <c r="X39" s="2" t="n">
        <v>0.222403652259846</v>
      </c>
      <c r="Y39" s="2" t="n">
        <v>0.00301387645900531</v>
      </c>
      <c r="Z39" s="2" t="n">
        <v>77.8241589988001</v>
      </c>
      <c r="AA39" s="2" t="n">
        <v>21.8793456685964</v>
      </c>
      <c r="AB39" s="2" t="n">
        <v>0.296495332603528</v>
      </c>
    </row>
    <row r="40" customFormat="false" ht="15" hidden="false" customHeight="false" outlineLevel="0" collapsed="false">
      <c r="A40" s="2" t="s">
        <v>109</v>
      </c>
      <c r="B40" s="2" t="s">
        <v>44</v>
      </c>
      <c r="C40" s="2" t="n">
        <v>2009</v>
      </c>
      <c r="D40" s="2" t="s">
        <v>61</v>
      </c>
      <c r="E40" s="2" t="s">
        <v>31</v>
      </c>
      <c r="F40" s="2" t="n">
        <v>119</v>
      </c>
      <c r="G40" s="2" t="s">
        <v>110</v>
      </c>
      <c r="H40" s="2" t="n">
        <v>48.19</v>
      </c>
      <c r="I40" s="2" t="n">
        <v>0.0843</v>
      </c>
      <c r="J40" s="2" t="n">
        <v>32.98</v>
      </c>
      <c r="K40" s="2" t="n">
        <v>0.663</v>
      </c>
      <c r="L40" s="2" t="n">
        <v>0.239</v>
      </c>
      <c r="M40" s="2" t="n">
        <v>16.25</v>
      </c>
      <c r="N40" s="2" t="n">
        <v>2.4</v>
      </c>
      <c r="O40" s="2" t="n">
        <v>0.0479</v>
      </c>
      <c r="P40" s="2" t="n">
        <v>100.86</v>
      </c>
      <c r="Q40" s="2" t="n">
        <v>2.92073939439139</v>
      </c>
      <c r="R40" s="2" t="n">
        <v>2.19682401484866</v>
      </c>
      <c r="S40" s="2" t="n">
        <v>0.00289113424071165</v>
      </c>
      <c r="T40" s="2" t="n">
        <v>1.77191848717671</v>
      </c>
      <c r="U40" s="2" t="n">
        <v>0.025276690037643</v>
      </c>
      <c r="V40" s="2" t="n">
        <v>0.0162422776213147</v>
      </c>
      <c r="W40" s="2" t="n">
        <v>0.793717164399836</v>
      </c>
      <c r="X40" s="2" t="n">
        <v>0.212125974832307</v>
      </c>
      <c r="Y40" s="2" t="n">
        <v>0.00278570316249492</v>
      </c>
      <c r="Z40" s="2" t="n">
        <v>78.6926896236113</v>
      </c>
      <c r="AA40" s="2" t="n">
        <v>21.0311232354498</v>
      </c>
      <c r="AB40" s="2" t="n">
        <v>0.276187140938905</v>
      </c>
    </row>
    <row r="41" customFormat="false" ht="15" hidden="false" customHeight="false" outlineLevel="0" collapsed="false">
      <c r="A41" s="2" t="s">
        <v>111</v>
      </c>
      <c r="B41" s="2" t="s">
        <v>44</v>
      </c>
      <c r="C41" s="2" t="n">
        <v>2009</v>
      </c>
      <c r="D41" s="2" t="s">
        <v>61</v>
      </c>
      <c r="E41" s="2" t="s">
        <v>31</v>
      </c>
      <c r="F41" s="2" t="n">
        <v>120</v>
      </c>
      <c r="G41" s="2" t="s">
        <v>112</v>
      </c>
      <c r="H41" s="2" t="n">
        <v>47.58</v>
      </c>
      <c r="I41" s="2" t="n">
        <v>0.0597</v>
      </c>
      <c r="J41" s="2" t="n">
        <v>33.7</v>
      </c>
      <c r="K41" s="2" t="n">
        <v>0.6187</v>
      </c>
      <c r="L41" s="2" t="n">
        <v>0.1748</v>
      </c>
      <c r="M41" s="2" t="n">
        <v>16.84</v>
      </c>
      <c r="N41" s="2" t="n">
        <v>2.04</v>
      </c>
      <c r="O41" s="2" t="n">
        <v>0.0438</v>
      </c>
      <c r="P41" s="2" t="n">
        <v>101.06</v>
      </c>
      <c r="Q41" s="2" t="n">
        <v>2.92346281301481</v>
      </c>
      <c r="R41" s="2" t="n">
        <v>2.16699551937291</v>
      </c>
      <c r="S41" s="2" t="n">
        <v>0.00204555070022517</v>
      </c>
      <c r="T41" s="2" t="n">
        <v>1.80891526377006</v>
      </c>
      <c r="U41" s="2" t="n">
        <v>0.0235657911746817</v>
      </c>
      <c r="V41" s="2" t="n">
        <v>0.0118682228158644</v>
      </c>
      <c r="W41" s="2" t="n">
        <v>0.821768951510006</v>
      </c>
      <c r="X41" s="2" t="n">
        <v>0.180139109425973</v>
      </c>
      <c r="Y41" s="2" t="n">
        <v>0.00254488797022199</v>
      </c>
      <c r="Z41" s="2" t="n">
        <v>81.8125878772989</v>
      </c>
      <c r="AA41" s="2" t="n">
        <v>17.9340515274643</v>
      </c>
      <c r="AB41" s="2" t="n">
        <v>0.253360595236765</v>
      </c>
    </row>
    <row r="42" customFormat="false" ht="15" hidden="false" customHeight="false" outlineLevel="0" collapsed="false">
      <c r="A42" s="2" t="s">
        <v>113</v>
      </c>
      <c r="B42" s="2" t="s">
        <v>44</v>
      </c>
      <c r="C42" s="2" t="n">
        <v>2009</v>
      </c>
      <c r="D42" s="2" t="s">
        <v>61</v>
      </c>
      <c r="E42" s="2" t="s">
        <v>31</v>
      </c>
      <c r="F42" s="2" t="n">
        <v>121</v>
      </c>
      <c r="G42" s="2" t="s">
        <v>114</v>
      </c>
      <c r="H42" s="2" t="n">
        <v>48.07</v>
      </c>
      <c r="I42" s="2" t="n">
        <v>0.0768</v>
      </c>
      <c r="J42" s="2" t="n">
        <v>33.29</v>
      </c>
      <c r="K42" s="2" t="n">
        <v>0.7009</v>
      </c>
      <c r="L42" s="2" t="n">
        <v>0.1751</v>
      </c>
      <c r="M42" s="2" t="n">
        <v>16.41</v>
      </c>
      <c r="N42" s="2" t="n">
        <v>2.38</v>
      </c>
      <c r="O42" s="2" t="n">
        <v>0.0472</v>
      </c>
      <c r="P42" s="2" t="n">
        <v>101.14</v>
      </c>
      <c r="Q42" s="2" t="n">
        <v>2.92714348381609</v>
      </c>
      <c r="R42" s="2" t="n">
        <v>2.18655930151168</v>
      </c>
      <c r="S42" s="2" t="n">
        <v>0.00262815333430076</v>
      </c>
      <c r="T42" s="2" t="n">
        <v>1.78466078242192</v>
      </c>
      <c r="U42" s="2" t="n">
        <v>0.0266631546356426</v>
      </c>
      <c r="V42" s="2" t="n">
        <v>0.0118736425769271</v>
      </c>
      <c r="W42" s="2" t="n">
        <v>0.799778610256529</v>
      </c>
      <c r="X42" s="2" t="n">
        <v>0.209898030475609</v>
      </c>
      <c r="Y42" s="2" t="n">
        <v>0.00273898793650403</v>
      </c>
      <c r="Z42" s="2" t="n">
        <v>78.9970628276712</v>
      </c>
      <c r="AA42" s="2" t="n">
        <v>20.7323973012577</v>
      </c>
      <c r="AB42" s="2" t="n">
        <v>0.270539871071122</v>
      </c>
    </row>
    <row r="43" customFormat="false" ht="15" hidden="false" customHeight="false" outlineLevel="0" collapsed="false">
      <c r="A43" s="2" t="s">
        <v>115</v>
      </c>
      <c r="B43" s="2" t="s">
        <v>44</v>
      </c>
      <c r="C43" s="2" t="n">
        <v>2009</v>
      </c>
      <c r="D43" s="2" t="s">
        <v>61</v>
      </c>
      <c r="E43" s="2" t="s">
        <v>31</v>
      </c>
      <c r="F43" s="2" t="n">
        <v>122</v>
      </c>
      <c r="G43" s="2" t="s">
        <v>116</v>
      </c>
      <c r="H43" s="2" t="n">
        <v>53.98</v>
      </c>
      <c r="I43" s="2" t="n">
        <v>0.1947</v>
      </c>
      <c r="J43" s="2" t="n">
        <v>28.84</v>
      </c>
      <c r="K43" s="2" t="n">
        <v>0.952</v>
      </c>
      <c r="L43" s="2" t="n">
        <v>0.1585</v>
      </c>
      <c r="M43" s="2" t="n">
        <v>11.67</v>
      </c>
      <c r="N43" s="2" t="n">
        <v>4.91</v>
      </c>
      <c r="O43" s="2" t="n">
        <v>0.2087</v>
      </c>
      <c r="P43" s="2" t="n">
        <v>100.91</v>
      </c>
      <c r="Q43" s="2" t="n">
        <v>2.95697951242832</v>
      </c>
      <c r="R43" s="2" t="n">
        <v>2.43061242849661</v>
      </c>
      <c r="S43" s="2" t="n">
        <v>0.00659555167041748</v>
      </c>
      <c r="T43" s="2" t="n">
        <v>1.5304982486167</v>
      </c>
      <c r="U43" s="2" t="n">
        <v>0.0358499137932959</v>
      </c>
      <c r="V43" s="2" t="n">
        <v>0.0106395384375136</v>
      </c>
      <c r="W43" s="2" t="n">
        <v>0.563025099203706</v>
      </c>
      <c r="X43" s="2" t="n">
        <v>0.428655691465463</v>
      </c>
      <c r="Y43" s="2" t="n">
        <v>0.0119885391472953</v>
      </c>
      <c r="Z43" s="2" t="n">
        <v>56.0966727265307</v>
      </c>
      <c r="AA43" s="2" t="n">
        <v>42.7088562668194</v>
      </c>
      <c r="AB43" s="2" t="n">
        <v>1.19447100664992</v>
      </c>
    </row>
    <row r="44" customFormat="false" ht="15" hidden="false" customHeight="false" outlineLevel="0" collapsed="false">
      <c r="A44" s="2" t="s">
        <v>117</v>
      </c>
      <c r="B44" s="2" t="s">
        <v>44</v>
      </c>
      <c r="C44" s="2" t="n">
        <v>2009</v>
      </c>
      <c r="D44" s="2" t="s">
        <v>61</v>
      </c>
      <c r="E44" s="2" t="s">
        <v>31</v>
      </c>
      <c r="F44" s="2" t="n">
        <v>123</v>
      </c>
      <c r="G44" s="2" t="s">
        <v>118</v>
      </c>
      <c r="H44" s="2" t="n">
        <v>51.05</v>
      </c>
      <c r="I44" s="2" t="n">
        <v>0.0666</v>
      </c>
      <c r="J44" s="2" t="n">
        <v>30.89</v>
      </c>
      <c r="K44" s="2" t="n">
        <v>0.648</v>
      </c>
      <c r="L44" s="2" t="n">
        <v>0.2517</v>
      </c>
      <c r="M44" s="2" t="n">
        <v>14.05</v>
      </c>
      <c r="N44" s="2" t="n">
        <v>3.68</v>
      </c>
      <c r="O44" s="2" t="n">
        <v>0.0931</v>
      </c>
      <c r="P44" s="2" t="n">
        <v>100.74</v>
      </c>
      <c r="Q44" s="2" t="n">
        <v>2.93600865987483</v>
      </c>
      <c r="R44" s="2" t="n">
        <v>2.31509898068162</v>
      </c>
      <c r="S44" s="2" t="n">
        <v>0.00227222005119468</v>
      </c>
      <c r="T44" s="2" t="n">
        <v>1.65099771618672</v>
      </c>
      <c r="U44" s="2" t="n">
        <v>0.0245763371614169</v>
      </c>
      <c r="V44" s="2" t="n">
        <v>0.0170164013443872</v>
      </c>
      <c r="W44" s="2" t="n">
        <v>0.682691046743567</v>
      </c>
      <c r="X44" s="2" t="n">
        <v>0.323568253138478</v>
      </c>
      <c r="Y44" s="2" t="n">
        <v>0.00538622487137636</v>
      </c>
      <c r="Z44" s="2" t="n">
        <v>67.4832270829218</v>
      </c>
      <c r="AA44" s="2" t="n">
        <v>31.9843507652885</v>
      </c>
      <c r="AB44" s="2" t="n">
        <v>0.532422151789699</v>
      </c>
    </row>
    <row r="45" customFormat="false" ht="15" hidden="false" customHeight="false" outlineLevel="0" collapsed="false">
      <c r="A45" s="2" t="s">
        <v>119</v>
      </c>
      <c r="B45" s="2" t="s">
        <v>44</v>
      </c>
      <c r="C45" s="2" t="n">
        <v>2009</v>
      </c>
      <c r="D45" s="2" t="s">
        <v>61</v>
      </c>
      <c r="E45" s="2" t="s">
        <v>31</v>
      </c>
      <c r="F45" s="2" t="n">
        <v>126</v>
      </c>
      <c r="G45" s="2" t="s">
        <v>120</v>
      </c>
      <c r="H45" s="2" t="n">
        <v>54.27</v>
      </c>
      <c r="I45" s="2" t="n">
        <v>0.2139</v>
      </c>
      <c r="J45" s="2" t="n">
        <v>28.39</v>
      </c>
      <c r="K45" s="2" t="n">
        <v>0.9495</v>
      </c>
      <c r="L45" s="2" t="n">
        <v>0.174</v>
      </c>
      <c r="M45" s="2" t="n">
        <v>11.16</v>
      </c>
      <c r="N45" s="2" t="n">
        <v>5.12</v>
      </c>
      <c r="O45" s="2" t="n">
        <v>0.2508</v>
      </c>
      <c r="P45" s="2" t="n">
        <v>100.54</v>
      </c>
      <c r="Q45" s="2" t="n">
        <v>2.94896345088224</v>
      </c>
      <c r="R45" s="2" t="n">
        <v>2.45031309579995</v>
      </c>
      <c r="S45" s="2" t="n">
        <v>0.00726565689816156</v>
      </c>
      <c r="T45" s="2" t="n">
        <v>1.51071276532681</v>
      </c>
      <c r="U45" s="2" t="n">
        <v>0.0358529637391719</v>
      </c>
      <c r="V45" s="2" t="n">
        <v>0.0117117473519474</v>
      </c>
      <c r="W45" s="2" t="n">
        <v>0.5398834566803</v>
      </c>
      <c r="X45" s="2" t="n">
        <v>0.448204269076158</v>
      </c>
      <c r="Y45" s="2" t="n">
        <v>0.0144460886081198</v>
      </c>
      <c r="Z45" s="2" t="n">
        <v>53.851894963013</v>
      </c>
      <c r="AA45" s="2" t="n">
        <v>44.7071472955989</v>
      </c>
      <c r="AB45" s="2" t="n">
        <v>1.4409577413881</v>
      </c>
    </row>
    <row r="46" customFormat="false" ht="15" hidden="false" customHeight="false" outlineLevel="0" collapsed="false">
      <c r="A46" s="2" t="s">
        <v>121</v>
      </c>
      <c r="B46" s="2" t="s">
        <v>44</v>
      </c>
      <c r="C46" s="2" t="n">
        <v>2009</v>
      </c>
      <c r="D46" s="2" t="s">
        <v>61</v>
      </c>
      <c r="E46" s="2" t="s">
        <v>31</v>
      </c>
      <c r="F46" s="2" t="n">
        <v>127</v>
      </c>
      <c r="G46" s="2" t="s">
        <v>122</v>
      </c>
      <c r="H46" s="2" t="n">
        <v>47.47</v>
      </c>
      <c r="I46" s="2" t="n">
        <v>0.0553</v>
      </c>
      <c r="J46" s="2" t="n">
        <v>33.72</v>
      </c>
      <c r="K46" s="2" t="n">
        <v>0.6171</v>
      </c>
      <c r="L46" s="2" t="n">
        <v>0.1518</v>
      </c>
      <c r="M46" s="2" t="n">
        <v>16.73</v>
      </c>
      <c r="N46" s="2" t="n">
        <v>2.13</v>
      </c>
      <c r="O46" s="2" t="n">
        <v>0.0403</v>
      </c>
      <c r="P46" s="2" t="n">
        <v>100.91</v>
      </c>
      <c r="Q46" s="2" t="n">
        <v>2.91913997267679</v>
      </c>
      <c r="R46" s="2" t="n">
        <v>2.16518725171676</v>
      </c>
      <c r="S46" s="2" t="n">
        <v>0.00189759576485073</v>
      </c>
      <c r="T46" s="2" t="n">
        <v>1.81266914569154</v>
      </c>
      <c r="U46" s="2" t="n">
        <v>0.0235396558583317</v>
      </c>
      <c r="V46" s="2" t="n">
        <v>0.0103218772134393</v>
      </c>
      <c r="W46" s="2" t="n">
        <v>0.817610078560449</v>
      </c>
      <c r="X46" s="2" t="n">
        <v>0.188364952912729</v>
      </c>
      <c r="Y46" s="2" t="n">
        <v>0.00234499682178686</v>
      </c>
      <c r="Z46" s="2" t="n">
        <v>81.0863669883658</v>
      </c>
      <c r="AA46" s="2" t="n">
        <v>18.6810682746476</v>
      </c>
      <c r="AB46" s="2" t="n">
        <v>0.232564736986547</v>
      </c>
    </row>
    <row r="47" customFormat="false" ht="15" hidden="false" customHeight="false" outlineLevel="0" collapsed="false">
      <c r="A47" s="2" t="s">
        <v>123</v>
      </c>
      <c r="B47" s="2" t="s">
        <v>44</v>
      </c>
      <c r="C47" s="2" t="n">
        <v>2009</v>
      </c>
      <c r="D47" s="2" t="s">
        <v>61</v>
      </c>
      <c r="E47" s="2" t="s">
        <v>31</v>
      </c>
      <c r="F47" s="2" t="n">
        <v>128</v>
      </c>
      <c r="G47" s="2" t="s">
        <v>124</v>
      </c>
      <c r="H47" s="2" t="n">
        <v>46.77</v>
      </c>
      <c r="I47" s="2" t="n">
        <v>0.0496</v>
      </c>
      <c r="J47" s="2" t="n">
        <v>34.06</v>
      </c>
      <c r="K47" s="2" t="n">
        <v>0.6055</v>
      </c>
      <c r="L47" s="2" t="n">
        <v>0.1464</v>
      </c>
      <c r="M47" s="2" t="n">
        <v>17.33</v>
      </c>
      <c r="N47" s="2" t="n">
        <v>1.79</v>
      </c>
      <c r="O47" s="2" t="n">
        <v>0.0252</v>
      </c>
      <c r="P47" s="2" t="n">
        <v>100.78</v>
      </c>
      <c r="Q47" s="2" t="n">
        <v>2.91045844078981</v>
      </c>
      <c r="R47" s="2" t="n">
        <v>2.13962230767413</v>
      </c>
      <c r="S47" s="2" t="n">
        <v>0.00170707957159557</v>
      </c>
      <c r="T47" s="2" t="n">
        <v>1.83640783830118</v>
      </c>
      <c r="U47" s="2" t="n">
        <v>0.0231660627305084</v>
      </c>
      <c r="V47" s="2" t="n">
        <v>0.00998438941758075</v>
      </c>
      <c r="W47" s="2" t="n">
        <v>0.849458909339652</v>
      </c>
      <c r="X47" s="2" t="n">
        <v>0.158769488829209</v>
      </c>
      <c r="Y47" s="2" t="n">
        <v>0.00147072430888655</v>
      </c>
      <c r="Z47" s="2" t="n">
        <v>84.1299046843901</v>
      </c>
      <c r="AA47" s="2" t="n">
        <v>15.7244356556037</v>
      </c>
      <c r="AB47" s="2" t="n">
        <v>0.145659660006188</v>
      </c>
    </row>
    <row r="48" customFormat="false" ht="15" hidden="false" customHeight="false" outlineLevel="0" collapsed="false">
      <c r="A48" s="2" t="s">
        <v>125</v>
      </c>
      <c r="B48" s="2" t="s">
        <v>44</v>
      </c>
      <c r="C48" s="2" t="n">
        <v>2009</v>
      </c>
      <c r="D48" s="2" t="s">
        <v>61</v>
      </c>
      <c r="E48" s="2" t="s">
        <v>31</v>
      </c>
      <c r="F48" s="2" t="n">
        <v>129</v>
      </c>
      <c r="G48" s="2" t="s">
        <v>126</v>
      </c>
      <c r="H48" s="2" t="n">
        <v>46.87</v>
      </c>
      <c r="I48" s="2" t="n">
        <v>0.0473</v>
      </c>
      <c r="J48" s="2" t="n">
        <v>34.19</v>
      </c>
      <c r="K48" s="2" t="n">
        <v>0.5853</v>
      </c>
      <c r="L48" s="2" t="n">
        <v>0.1333</v>
      </c>
      <c r="M48" s="2" t="n">
        <v>17.3</v>
      </c>
      <c r="N48" s="2" t="n">
        <v>1.76</v>
      </c>
      <c r="O48" s="2" t="n">
        <v>0.0279</v>
      </c>
      <c r="P48" s="2" t="n">
        <v>100.92</v>
      </c>
      <c r="Q48" s="2" t="n">
        <v>2.91595796451128</v>
      </c>
      <c r="R48" s="2" t="n">
        <v>2.14015310720768</v>
      </c>
      <c r="S48" s="2" t="n">
        <v>0.00162485036644766</v>
      </c>
      <c r="T48" s="2" t="n">
        <v>1.83994032693873</v>
      </c>
      <c r="U48" s="2" t="n">
        <v>0.0223509891570376</v>
      </c>
      <c r="V48" s="2" t="n">
        <v>0.00907383185518832</v>
      </c>
      <c r="W48" s="2" t="n">
        <v>0.846389095216338</v>
      </c>
      <c r="X48" s="2" t="n">
        <v>0.155814125509239</v>
      </c>
      <c r="Y48" s="2" t="n">
        <v>0.00162523092092411</v>
      </c>
      <c r="Z48" s="2" t="n">
        <v>84.3161093738748</v>
      </c>
      <c r="AA48" s="2" t="n">
        <v>15.5219873728095</v>
      </c>
      <c r="AB48" s="2" t="n">
        <v>0.16190325331568</v>
      </c>
    </row>
    <row r="49" customFormat="false" ht="15" hidden="false" customHeight="false" outlineLevel="0" collapsed="false">
      <c r="A49" s="2" t="s">
        <v>127</v>
      </c>
      <c r="B49" s="2" t="s">
        <v>44</v>
      </c>
      <c r="C49" s="2" t="n">
        <v>2009</v>
      </c>
      <c r="D49" s="2" t="s">
        <v>61</v>
      </c>
      <c r="E49" s="2" t="s">
        <v>31</v>
      </c>
      <c r="F49" s="2" t="n">
        <v>130</v>
      </c>
      <c r="G49" s="2" t="s">
        <v>128</v>
      </c>
      <c r="H49" s="2" t="n">
        <v>50.93</v>
      </c>
      <c r="I49" s="2" t="n">
        <v>0.1174</v>
      </c>
      <c r="J49" s="2" t="n">
        <v>31.02</v>
      </c>
      <c r="K49" s="2" t="n">
        <v>0.7768</v>
      </c>
      <c r="L49" s="2" t="n">
        <v>0.2124</v>
      </c>
      <c r="M49" s="2" t="n">
        <v>14.02</v>
      </c>
      <c r="N49" s="2" t="n">
        <v>3.59</v>
      </c>
      <c r="O49" s="2" t="n">
        <v>0.0881</v>
      </c>
      <c r="P49" s="2" t="n">
        <v>100.75</v>
      </c>
      <c r="Q49" s="2" t="n">
        <v>2.93588890980291</v>
      </c>
      <c r="R49" s="2" t="n">
        <v>2.30975123131879</v>
      </c>
      <c r="S49" s="2" t="n">
        <v>0.00400554826810011</v>
      </c>
      <c r="T49" s="2" t="n">
        <v>1.65801353475967</v>
      </c>
      <c r="U49" s="2" t="n">
        <v>0.0294624651131106</v>
      </c>
      <c r="V49" s="2" t="n">
        <v>0.0143600757497951</v>
      </c>
      <c r="W49" s="2" t="n">
        <v>0.681261129826697</v>
      </c>
      <c r="X49" s="2" t="n">
        <v>0.315667774164815</v>
      </c>
      <c r="Y49" s="2" t="n">
        <v>0.00509716182941797</v>
      </c>
      <c r="Z49" s="2" t="n">
        <v>67.9883640819822</v>
      </c>
      <c r="AA49" s="2" t="n">
        <v>31.5029503654875</v>
      </c>
      <c r="AB49" s="2" t="n">
        <v>0.508685552530214</v>
      </c>
    </row>
    <row r="50" customFormat="false" ht="15" hidden="false" customHeight="false" outlineLevel="0" collapsed="false">
      <c r="A50" s="2" t="s">
        <v>129</v>
      </c>
      <c r="B50" s="2" t="s">
        <v>44</v>
      </c>
      <c r="C50" s="2" t="n">
        <v>2009</v>
      </c>
      <c r="D50" s="2" t="s">
        <v>61</v>
      </c>
      <c r="E50" s="2" t="s">
        <v>31</v>
      </c>
      <c r="F50" s="2" t="n">
        <v>131</v>
      </c>
      <c r="G50" s="2" t="s">
        <v>130</v>
      </c>
      <c r="H50" s="2" t="n">
        <v>49.98</v>
      </c>
      <c r="I50" s="2" t="n">
        <v>0.107</v>
      </c>
      <c r="J50" s="2" t="n">
        <v>31.64</v>
      </c>
      <c r="K50" s="2" t="n">
        <v>0.7215</v>
      </c>
      <c r="L50" s="2" t="n">
        <v>0.2032</v>
      </c>
      <c r="M50" s="2" t="n">
        <v>14.67</v>
      </c>
      <c r="N50" s="2" t="n">
        <v>3.2</v>
      </c>
      <c r="O50" s="2" t="n">
        <v>0.067</v>
      </c>
      <c r="P50" s="2" t="n">
        <v>100.58</v>
      </c>
      <c r="Q50" s="2" t="n">
        <v>2.92632510328444</v>
      </c>
      <c r="R50" s="2" t="n">
        <v>2.27407523371565</v>
      </c>
      <c r="S50" s="2" t="n">
        <v>0.00366264389400789</v>
      </c>
      <c r="T50" s="2" t="n">
        <v>1.69667944457486</v>
      </c>
      <c r="U50" s="2" t="n">
        <v>0.027454481450496</v>
      </c>
      <c r="V50" s="2" t="n">
        <v>0.0137829749728447</v>
      </c>
      <c r="W50" s="2" t="n">
        <v>0.715175710652155</v>
      </c>
      <c r="X50" s="2" t="n">
        <v>0.282294764206028</v>
      </c>
      <c r="Y50" s="2" t="n">
        <v>0.00388905747975809</v>
      </c>
      <c r="Z50" s="2" t="n">
        <v>71.4204726230934</v>
      </c>
      <c r="AA50" s="2" t="n">
        <v>28.1911496410221</v>
      </c>
      <c r="AB50" s="2" t="n">
        <v>0.388377735884538</v>
      </c>
    </row>
    <row r="51" customFormat="false" ht="15" hidden="false" customHeight="false" outlineLevel="0" collapsed="false">
      <c r="A51" s="2" t="s">
        <v>131</v>
      </c>
      <c r="B51" s="2" t="s">
        <v>44</v>
      </c>
      <c r="C51" s="2" t="n">
        <v>2009</v>
      </c>
      <c r="D51" s="2" t="s">
        <v>61</v>
      </c>
      <c r="E51" s="2" t="s">
        <v>31</v>
      </c>
      <c r="F51" s="2" t="n">
        <v>132</v>
      </c>
      <c r="G51" s="2" t="s">
        <v>132</v>
      </c>
      <c r="H51" s="2" t="n">
        <v>49.12</v>
      </c>
      <c r="I51" s="2" t="n">
        <v>0.0694</v>
      </c>
      <c r="J51" s="2" t="n">
        <v>32.68</v>
      </c>
      <c r="K51" s="2" t="n">
        <v>0.6418</v>
      </c>
      <c r="L51" s="2" t="n">
        <v>0.1923</v>
      </c>
      <c r="M51" s="2" t="n">
        <v>15.62</v>
      </c>
      <c r="N51" s="2" t="n">
        <v>2.72</v>
      </c>
      <c r="O51" s="2" t="n">
        <v>0.0566</v>
      </c>
      <c r="P51" s="2" t="n">
        <v>101.1</v>
      </c>
      <c r="Q51" s="2" t="n">
        <v>2.93506309148058</v>
      </c>
      <c r="R51" s="2" t="n">
        <v>2.22829182254975</v>
      </c>
      <c r="S51" s="2" t="n">
        <v>0.00236851162290811</v>
      </c>
      <c r="T51" s="2" t="n">
        <v>1.74723171046697</v>
      </c>
      <c r="U51" s="2" t="n">
        <v>0.0243490350237816</v>
      </c>
      <c r="V51" s="2" t="n">
        <v>0.0130048000687684</v>
      </c>
      <c r="W51" s="2" t="n">
        <v>0.759222033970156</v>
      </c>
      <c r="X51" s="2" t="n">
        <v>0.239236191823861</v>
      </c>
      <c r="Y51" s="2" t="n">
        <v>0.00327560195921278</v>
      </c>
      <c r="Z51" s="2" t="n">
        <v>75.7907952128362</v>
      </c>
      <c r="AA51" s="2" t="n">
        <v>23.8822115412074</v>
      </c>
      <c r="AB51" s="2" t="n">
        <v>0.326993245956321</v>
      </c>
    </row>
    <row r="52" customFormat="false" ht="15" hidden="false" customHeight="false" outlineLevel="0" collapsed="false">
      <c r="A52" s="2" t="s">
        <v>133</v>
      </c>
      <c r="B52" s="2" t="s">
        <v>44</v>
      </c>
      <c r="C52" s="2" t="n">
        <v>2009</v>
      </c>
      <c r="D52" s="2" t="s">
        <v>61</v>
      </c>
      <c r="E52" s="2" t="s">
        <v>31</v>
      </c>
      <c r="F52" s="2" t="n">
        <v>133</v>
      </c>
      <c r="G52" s="2" t="s">
        <v>134</v>
      </c>
      <c r="H52" s="2" t="n">
        <v>48.1</v>
      </c>
      <c r="I52" s="2" t="n">
        <v>0.0604</v>
      </c>
      <c r="J52" s="2" t="n">
        <v>32.84</v>
      </c>
      <c r="K52" s="2" t="n">
        <v>0.6525</v>
      </c>
      <c r="L52" s="2" t="n">
        <v>0.1847</v>
      </c>
      <c r="M52" s="2" t="n">
        <v>16.1</v>
      </c>
      <c r="N52" s="2" t="n">
        <v>2.39</v>
      </c>
      <c r="O52" s="2" t="n">
        <v>0.0333</v>
      </c>
      <c r="P52" s="2" t="n">
        <v>100.36</v>
      </c>
      <c r="Q52" s="2" t="n">
        <v>2.90854120963599</v>
      </c>
      <c r="R52" s="2" t="n">
        <v>2.20191730411409</v>
      </c>
      <c r="S52" s="2" t="n">
        <v>0.00208015265827186</v>
      </c>
      <c r="T52" s="2" t="n">
        <v>1.7717964345076</v>
      </c>
      <c r="U52" s="2" t="n">
        <v>0.0249807099788932</v>
      </c>
      <c r="V52" s="2" t="n">
        <v>0.012604728940913</v>
      </c>
      <c r="W52" s="2" t="n">
        <v>0.789688602264661</v>
      </c>
      <c r="X52" s="2" t="n">
        <v>0.212128048822341</v>
      </c>
      <c r="Y52" s="2" t="n">
        <v>0.001944738196464</v>
      </c>
      <c r="Z52" s="2" t="n">
        <v>78.6729406705292</v>
      </c>
      <c r="AA52" s="2" t="n">
        <v>21.1333142604507</v>
      </c>
      <c r="AB52" s="2" t="n">
        <v>0.193745069020063</v>
      </c>
    </row>
    <row r="53" customFormat="false" ht="15" hidden="false" customHeight="false" outlineLevel="0" collapsed="false">
      <c r="A53" s="2" t="s">
        <v>135</v>
      </c>
      <c r="B53" s="2" t="s">
        <v>44</v>
      </c>
      <c r="C53" s="2" t="n">
        <v>2009</v>
      </c>
      <c r="D53" s="2" t="s">
        <v>61</v>
      </c>
      <c r="E53" s="2" t="s">
        <v>31</v>
      </c>
      <c r="F53" s="2" t="n">
        <v>134</v>
      </c>
      <c r="G53" s="2" t="s">
        <v>136</v>
      </c>
      <c r="H53" s="2" t="n">
        <v>51.34</v>
      </c>
      <c r="I53" s="2" t="n">
        <v>0.1181</v>
      </c>
      <c r="J53" s="2" t="n">
        <v>30.94</v>
      </c>
      <c r="K53" s="2" t="n">
        <v>0.8002</v>
      </c>
      <c r="L53" s="2" t="n">
        <v>0.2219</v>
      </c>
      <c r="M53" s="2" t="n">
        <v>13.98</v>
      </c>
      <c r="N53" s="2" t="n">
        <v>3.63</v>
      </c>
      <c r="O53" s="2" t="n">
        <v>0.0895</v>
      </c>
      <c r="P53" s="2" t="n">
        <v>101.12</v>
      </c>
      <c r="Q53" s="2" t="n">
        <v>2.94770851035363</v>
      </c>
      <c r="R53" s="2" t="n">
        <v>2.31900923743053</v>
      </c>
      <c r="S53" s="2" t="n">
        <v>0.00401327438622791</v>
      </c>
      <c r="T53" s="2" t="n">
        <v>1.64710645993415</v>
      </c>
      <c r="U53" s="2" t="n">
        <v>0.030228284049612</v>
      </c>
      <c r="V53" s="2" t="n">
        <v>0.0149422020187151</v>
      </c>
      <c r="W53" s="2" t="n">
        <v>0.676593546944223</v>
      </c>
      <c r="X53" s="2" t="n">
        <v>0.317905109086924</v>
      </c>
      <c r="Y53" s="2" t="n">
        <v>0.00515739781848952</v>
      </c>
      <c r="Z53" s="2" t="n">
        <v>67.6826338757904</v>
      </c>
      <c r="AA53" s="2" t="n">
        <v>31.8014488946157</v>
      </c>
      <c r="AB53" s="2" t="n">
        <v>0.515917229593977</v>
      </c>
    </row>
    <row r="54" customFormat="false" ht="15" hidden="false" customHeight="false" outlineLevel="0" collapsed="false">
      <c r="A54" s="2" t="s">
        <v>137</v>
      </c>
      <c r="B54" s="2" t="s">
        <v>44</v>
      </c>
      <c r="C54" s="2" t="n">
        <v>2009</v>
      </c>
      <c r="D54" s="2" t="s">
        <v>61</v>
      </c>
      <c r="E54" s="2" t="s">
        <v>31</v>
      </c>
      <c r="F54" s="2" t="n">
        <v>135</v>
      </c>
      <c r="G54" s="2" t="s">
        <v>138</v>
      </c>
      <c r="H54" s="2" t="n">
        <v>52.84</v>
      </c>
      <c r="I54" s="2" t="n">
        <v>0.1513</v>
      </c>
      <c r="J54" s="2" t="n">
        <v>29.81</v>
      </c>
      <c r="K54" s="2" t="n">
        <v>0.8745</v>
      </c>
      <c r="L54" s="2" t="n">
        <v>0.2269</v>
      </c>
      <c r="M54" s="2" t="n">
        <v>12.6</v>
      </c>
      <c r="N54" s="2" t="n">
        <v>4.39</v>
      </c>
      <c r="O54" s="2" t="n">
        <v>0.1585</v>
      </c>
      <c r="P54" s="2" t="n">
        <v>101.06</v>
      </c>
      <c r="Q54" s="2" t="n">
        <v>2.95476596802792</v>
      </c>
      <c r="R54" s="2" t="n">
        <v>2.38106291068131</v>
      </c>
      <c r="S54" s="2" t="n">
        <v>0.00512919642261317</v>
      </c>
      <c r="T54" s="2" t="n">
        <v>1.58315991120985</v>
      </c>
      <c r="U54" s="2" t="n">
        <v>0.0329561300732768</v>
      </c>
      <c r="V54" s="2" t="n">
        <v>0.0152423961375134</v>
      </c>
      <c r="W54" s="2" t="n">
        <v>0.608348822851726</v>
      </c>
      <c r="X54" s="2" t="n">
        <v>0.383545462947273</v>
      </c>
      <c r="Y54" s="2" t="n">
        <v>0.00911167688245579</v>
      </c>
      <c r="Z54" s="2" t="n">
        <v>60.7737461645189</v>
      </c>
      <c r="AA54" s="2" t="n">
        <v>38.316001826787</v>
      </c>
      <c r="AB54" s="2" t="n">
        <v>0.910252008694113</v>
      </c>
    </row>
    <row r="55" customFormat="false" ht="15" hidden="false" customHeight="false" outlineLevel="0" collapsed="false">
      <c r="A55" s="2" t="s">
        <v>139</v>
      </c>
      <c r="B55" s="2" t="s">
        <v>29</v>
      </c>
      <c r="C55" s="2" t="n">
        <v>2009</v>
      </c>
      <c r="D55" s="2" t="s">
        <v>61</v>
      </c>
      <c r="E55" s="2" t="s">
        <v>31</v>
      </c>
      <c r="F55" s="2" t="n">
        <v>136</v>
      </c>
      <c r="G55" s="2" t="s">
        <v>140</v>
      </c>
      <c r="H55" s="2" t="n">
        <v>48.76</v>
      </c>
      <c r="I55" s="2" t="n">
        <v>0.0787</v>
      </c>
      <c r="J55" s="2" t="n">
        <v>32.59</v>
      </c>
      <c r="K55" s="2" t="n">
        <v>0.6994</v>
      </c>
      <c r="L55" s="2" t="n">
        <v>0.1872</v>
      </c>
      <c r="M55" s="2" t="n">
        <v>15.76</v>
      </c>
      <c r="N55" s="2" t="n">
        <v>2.62</v>
      </c>
      <c r="O55" s="2" t="n">
        <v>0.0542</v>
      </c>
      <c r="P55" s="2" t="n">
        <v>100.76</v>
      </c>
      <c r="Q55" s="2" t="n">
        <v>2.92219752691105</v>
      </c>
      <c r="R55" s="2" t="n">
        <v>2.22169929707935</v>
      </c>
      <c r="S55" s="2" t="n">
        <v>0.00269773107441865</v>
      </c>
      <c r="T55" s="2" t="n">
        <v>1.75009122809526</v>
      </c>
      <c r="U55" s="2" t="n">
        <v>0.0266511247342482</v>
      </c>
      <c r="V55" s="2" t="n">
        <v>0.0127156367360226</v>
      </c>
      <c r="W55" s="2" t="n">
        <v>0.769399428751771</v>
      </c>
      <c r="X55" s="2" t="n">
        <v>0.231455305491995</v>
      </c>
      <c r="Y55" s="2" t="n">
        <v>0.00315051716309876</v>
      </c>
      <c r="Z55" s="2" t="n">
        <v>76.633008410429</v>
      </c>
      <c r="AA55" s="2" t="n">
        <v>23.0531967006814</v>
      </c>
      <c r="AB55" s="2" t="n">
        <v>0.313794888889683</v>
      </c>
    </row>
    <row r="56" customFormat="false" ht="15" hidden="false" customHeight="false" outlineLevel="0" collapsed="false">
      <c r="A56" s="2" t="s">
        <v>141</v>
      </c>
      <c r="B56" s="2" t="s">
        <v>29</v>
      </c>
      <c r="C56" s="2" t="n">
        <v>2009</v>
      </c>
      <c r="D56" s="2" t="s">
        <v>61</v>
      </c>
      <c r="E56" s="2" t="s">
        <v>31</v>
      </c>
      <c r="F56" s="2" t="n">
        <v>137</v>
      </c>
      <c r="G56" s="2" t="s">
        <v>142</v>
      </c>
      <c r="H56" s="2" t="n">
        <v>47.42</v>
      </c>
      <c r="I56" s="2" t="n">
        <v>0.0559</v>
      </c>
      <c r="J56" s="2" t="n">
        <v>33.23</v>
      </c>
      <c r="K56" s="2" t="n">
        <v>0.6451</v>
      </c>
      <c r="L56" s="2" t="n">
        <v>0.1605</v>
      </c>
      <c r="M56" s="2" t="n">
        <v>16.45</v>
      </c>
      <c r="N56" s="2" t="n">
        <v>2.27</v>
      </c>
      <c r="O56" s="2" t="n">
        <v>0.0374</v>
      </c>
      <c r="P56" s="2" t="n">
        <v>100.27</v>
      </c>
      <c r="Q56" s="2" t="n">
        <v>2.90091388498818</v>
      </c>
      <c r="R56" s="2" t="n">
        <v>2.17649594533227</v>
      </c>
      <c r="S56" s="2" t="n">
        <v>0.00193023622634319</v>
      </c>
      <c r="T56" s="2" t="n">
        <v>1.79755174477075</v>
      </c>
      <c r="U56" s="2" t="n">
        <v>0.0247623403160438</v>
      </c>
      <c r="V56" s="2" t="n">
        <v>0.010982015107727</v>
      </c>
      <c r="W56" s="2" t="n">
        <v>0.808977198189947</v>
      </c>
      <c r="X56" s="2" t="n">
        <v>0.202007008959703</v>
      </c>
      <c r="Y56" s="2" t="n">
        <v>0.0021899232661784</v>
      </c>
      <c r="Z56" s="2" t="n">
        <v>79.8458205657033</v>
      </c>
      <c r="AA56" s="2" t="n">
        <v>19.9380346275516</v>
      </c>
      <c r="AB56" s="2" t="n">
        <v>0.216144806745077</v>
      </c>
    </row>
    <row r="57" customFormat="false" ht="15" hidden="false" customHeight="false" outlineLevel="0" collapsed="false">
      <c r="A57" s="2" t="s">
        <v>143</v>
      </c>
      <c r="B57" s="2" t="s">
        <v>29</v>
      </c>
      <c r="C57" s="2" t="n">
        <v>2009</v>
      </c>
      <c r="D57" s="2" t="s">
        <v>61</v>
      </c>
      <c r="E57" s="2" t="s">
        <v>31</v>
      </c>
      <c r="F57" s="2" t="n">
        <v>138</v>
      </c>
      <c r="G57" s="2" t="s">
        <v>144</v>
      </c>
      <c r="H57" s="2" t="n">
        <v>48.9</v>
      </c>
      <c r="I57" s="2" t="n">
        <v>0.0641</v>
      </c>
      <c r="J57" s="2" t="n">
        <v>32.82</v>
      </c>
      <c r="K57" s="2" t="n">
        <v>0.6336</v>
      </c>
      <c r="L57" s="2" t="n">
        <v>0.1769</v>
      </c>
      <c r="M57" s="2" t="n">
        <v>15.74</v>
      </c>
      <c r="N57" s="2" t="n">
        <v>2.61</v>
      </c>
      <c r="O57" s="2" t="n">
        <v>0.0626</v>
      </c>
      <c r="P57" s="2" t="n">
        <v>101.02</v>
      </c>
      <c r="Q57" s="2" t="n">
        <v>2.93165909401068</v>
      </c>
      <c r="R57" s="2" t="n">
        <v>2.22088740625939</v>
      </c>
      <c r="S57" s="2" t="n">
        <v>0.00219017114658693</v>
      </c>
      <c r="T57" s="2" t="n">
        <v>1.75675422168758</v>
      </c>
      <c r="U57" s="2" t="n">
        <v>0.0240658488171338</v>
      </c>
      <c r="V57" s="2" t="n">
        <v>0.0119772248440174</v>
      </c>
      <c r="W57" s="2" t="n">
        <v>0.76594304324558</v>
      </c>
      <c r="X57" s="2" t="n">
        <v>0.229827746046162</v>
      </c>
      <c r="Y57" s="2" t="n">
        <v>0.00362704545372031</v>
      </c>
      <c r="Z57" s="2" t="n">
        <v>76.640454543376</v>
      </c>
      <c r="AA57" s="2" t="n">
        <v>22.9966223715801</v>
      </c>
      <c r="AB57" s="2" t="n">
        <v>0.362923085043914</v>
      </c>
    </row>
    <row r="58" customFormat="false" ht="15" hidden="false" customHeight="false" outlineLevel="0" collapsed="false">
      <c r="A58" s="2" t="s">
        <v>145</v>
      </c>
      <c r="B58" s="2" t="s">
        <v>29</v>
      </c>
      <c r="C58" s="2" t="n">
        <v>2009</v>
      </c>
      <c r="D58" s="2" t="s">
        <v>61</v>
      </c>
      <c r="E58" s="2" t="s">
        <v>31</v>
      </c>
      <c r="F58" s="2" t="n">
        <v>139</v>
      </c>
      <c r="G58" s="2" t="s">
        <v>146</v>
      </c>
      <c r="H58" s="2" t="n">
        <v>47.89</v>
      </c>
      <c r="I58" s="2" t="n">
        <v>0.0714</v>
      </c>
      <c r="J58" s="2" t="n">
        <v>33.44</v>
      </c>
      <c r="K58" s="2" t="n">
        <v>0.5739</v>
      </c>
      <c r="L58" s="2" t="n">
        <v>0.1658</v>
      </c>
      <c r="M58" s="2" t="n">
        <v>16.37</v>
      </c>
      <c r="N58" s="2" t="n">
        <v>2.28</v>
      </c>
      <c r="O58" s="2" t="n">
        <v>0.0571</v>
      </c>
      <c r="P58" s="2" t="n">
        <v>100.85</v>
      </c>
      <c r="Q58" s="2" t="n">
        <v>2.92120997728591</v>
      </c>
      <c r="R58" s="2" t="n">
        <v>2.18279631180346</v>
      </c>
      <c r="S58" s="2" t="n">
        <v>0.00244832421231127</v>
      </c>
      <c r="T58" s="2" t="n">
        <v>1.79634351266648</v>
      </c>
      <c r="U58" s="2" t="n">
        <v>0.021876252742442</v>
      </c>
      <c r="V58" s="2" t="n">
        <v>0.011265840227455</v>
      </c>
      <c r="W58" s="2" t="n">
        <v>0.799449654871269</v>
      </c>
      <c r="X58" s="2" t="n">
        <v>0.201487212928778</v>
      </c>
      <c r="Y58" s="2" t="n">
        <v>0.00332020932636681</v>
      </c>
      <c r="Z58" s="2" t="n">
        <v>79.6060762806689</v>
      </c>
      <c r="AA58" s="2" t="n">
        <v>20.0633102338014</v>
      </c>
      <c r="AB58" s="2" t="n">
        <v>0.330613485529749</v>
      </c>
    </row>
    <row r="59" customFormat="false" ht="15" hidden="false" customHeight="false" outlineLevel="0" collapsed="false">
      <c r="A59" s="2" t="s">
        <v>147</v>
      </c>
      <c r="B59" s="2" t="s">
        <v>29</v>
      </c>
      <c r="C59" s="2" t="n">
        <v>2009</v>
      </c>
      <c r="D59" s="2" t="s">
        <v>61</v>
      </c>
      <c r="E59" s="2" t="s">
        <v>31</v>
      </c>
      <c r="F59" s="2" t="n">
        <v>141</v>
      </c>
      <c r="G59" s="2" t="s">
        <v>148</v>
      </c>
      <c r="H59" s="2" t="n">
        <v>48.41</v>
      </c>
      <c r="I59" s="2" t="n">
        <v>0.0783</v>
      </c>
      <c r="J59" s="2" t="n">
        <v>33</v>
      </c>
      <c r="K59" s="2" t="n">
        <v>0.627</v>
      </c>
      <c r="L59" s="2" t="n">
        <v>0.177</v>
      </c>
      <c r="M59" s="2" t="n">
        <v>16.1</v>
      </c>
      <c r="N59" s="2" t="n">
        <v>2.44</v>
      </c>
      <c r="O59" s="2" t="n">
        <v>0.0416</v>
      </c>
      <c r="P59" s="2" t="n">
        <v>100.88</v>
      </c>
      <c r="Q59" s="2" t="n">
        <v>2.92436489151944</v>
      </c>
      <c r="R59" s="2" t="n">
        <v>2.20411713513772</v>
      </c>
      <c r="S59" s="2" t="n">
        <v>0.00268203037267463</v>
      </c>
      <c r="T59" s="2" t="n">
        <v>1.77079495074783</v>
      </c>
      <c r="U59" s="2" t="n">
        <v>0.0238745647200239</v>
      </c>
      <c r="V59" s="2" t="n">
        <v>0.0120138869753721</v>
      </c>
      <c r="W59" s="2" t="n">
        <v>0.785415612506967</v>
      </c>
      <c r="X59" s="2" t="n">
        <v>0.215394040354141</v>
      </c>
      <c r="Y59" s="2" t="n">
        <v>0.00241631695605187</v>
      </c>
      <c r="Z59" s="2" t="n">
        <v>78.2890032890706</v>
      </c>
      <c r="AA59" s="2" t="n">
        <v>21.4701420053347</v>
      </c>
      <c r="AB59" s="2" t="n">
        <v>0.240854705594618</v>
      </c>
    </row>
    <row r="60" customFormat="false" ht="15" hidden="false" customHeight="false" outlineLevel="0" collapsed="false">
      <c r="A60" s="2" t="s">
        <v>149</v>
      </c>
      <c r="B60" s="2" t="s">
        <v>29</v>
      </c>
      <c r="C60" s="2" t="n">
        <v>2009</v>
      </c>
      <c r="D60" s="2" t="s">
        <v>61</v>
      </c>
      <c r="E60" s="2" t="s">
        <v>31</v>
      </c>
      <c r="F60" s="2" t="n">
        <v>142</v>
      </c>
      <c r="G60" s="2" t="s">
        <v>150</v>
      </c>
      <c r="H60" s="2" t="n">
        <v>49.85</v>
      </c>
      <c r="I60" s="2" t="n">
        <v>0.0938</v>
      </c>
      <c r="J60" s="2" t="n">
        <v>32.12</v>
      </c>
      <c r="K60" s="2" t="n">
        <v>0.6725</v>
      </c>
      <c r="L60" s="2" t="n">
        <v>0.1912</v>
      </c>
      <c r="M60" s="2" t="n">
        <v>15.13</v>
      </c>
      <c r="N60" s="2" t="n">
        <v>2.98</v>
      </c>
      <c r="O60" s="2" t="n">
        <v>0.0546</v>
      </c>
      <c r="P60" s="2" t="n">
        <v>101.09</v>
      </c>
      <c r="Q60" s="2" t="n">
        <v>2.93933232227204</v>
      </c>
      <c r="R60" s="2" t="n">
        <v>2.258123143237</v>
      </c>
      <c r="S60" s="2" t="n">
        <v>0.00319659517060114</v>
      </c>
      <c r="T60" s="2" t="n">
        <v>1.71479710894894</v>
      </c>
      <c r="U60" s="2" t="n">
        <v>0.0254766946030381</v>
      </c>
      <c r="V60" s="2" t="n">
        <v>0.0129116288740147</v>
      </c>
      <c r="W60" s="2" t="n">
        <v>0.73433707091485</v>
      </c>
      <c r="X60" s="2" t="n">
        <v>0.261723663962727</v>
      </c>
      <c r="Y60" s="2" t="n">
        <v>0.00315526677627385</v>
      </c>
      <c r="Z60" s="2" t="n">
        <v>73.4913241680891</v>
      </c>
      <c r="AA60" s="2" t="n">
        <v>26.1929015877984</v>
      </c>
      <c r="AB60" s="2" t="n">
        <v>0.315774244112526</v>
      </c>
    </row>
    <row r="61" customFormat="false" ht="15" hidden="false" customHeight="false" outlineLevel="0" collapsed="false">
      <c r="A61" s="2" t="s">
        <v>151</v>
      </c>
      <c r="B61" s="2" t="s">
        <v>29</v>
      </c>
      <c r="C61" s="2" t="n">
        <v>2009</v>
      </c>
      <c r="D61" s="2" t="s">
        <v>61</v>
      </c>
      <c r="E61" s="2" t="s">
        <v>31</v>
      </c>
      <c r="F61" s="2" t="n">
        <v>143</v>
      </c>
      <c r="G61" s="2" t="s">
        <v>152</v>
      </c>
      <c r="H61" s="2" t="n">
        <v>48.59</v>
      </c>
      <c r="I61" s="2" t="n">
        <v>0.0853</v>
      </c>
      <c r="J61" s="2" t="n">
        <v>32.85</v>
      </c>
      <c r="K61" s="2" t="n">
        <v>0.7645</v>
      </c>
      <c r="L61" s="2" t="n">
        <v>0.1833</v>
      </c>
      <c r="M61" s="2" t="n">
        <v>16.02</v>
      </c>
      <c r="N61" s="2" t="n">
        <v>2.5</v>
      </c>
      <c r="O61" s="2" t="n">
        <v>0.0517</v>
      </c>
      <c r="P61" s="2" t="n">
        <v>101.04</v>
      </c>
      <c r="Q61" s="2" t="n">
        <v>2.92783721220423</v>
      </c>
      <c r="R61" s="2" t="n">
        <v>2.20968884021278</v>
      </c>
      <c r="S61" s="2" t="n">
        <v>0.00291833803838248</v>
      </c>
      <c r="T61" s="2" t="n">
        <v>1.76065532291677</v>
      </c>
      <c r="U61" s="2" t="n">
        <v>0.0290756911001543</v>
      </c>
      <c r="V61" s="2" t="n">
        <v>0.0124267446832304</v>
      </c>
      <c r="W61" s="2" t="n">
        <v>0.780586077060509</v>
      </c>
      <c r="X61" s="2" t="n">
        <v>0.220428883151585</v>
      </c>
      <c r="Y61" s="2" t="n">
        <v>0.00299940940566125</v>
      </c>
      <c r="Z61" s="2" t="n">
        <v>77.7465045004974</v>
      </c>
      <c r="AA61" s="2" t="n">
        <v>21.9547538184644</v>
      </c>
      <c r="AB61" s="2" t="n">
        <v>0.298741681038208</v>
      </c>
    </row>
    <row r="62" customFormat="false" ht="15" hidden="false" customHeight="false" outlineLevel="0" collapsed="false">
      <c r="A62" s="2" t="s">
        <v>153</v>
      </c>
      <c r="B62" s="2" t="s">
        <v>29</v>
      </c>
      <c r="C62" s="2" t="n">
        <v>2009</v>
      </c>
      <c r="D62" s="2" t="s">
        <v>61</v>
      </c>
      <c r="E62" s="2" t="s">
        <v>31</v>
      </c>
      <c r="F62" s="2" t="n">
        <v>144</v>
      </c>
      <c r="G62" s="2" t="s">
        <v>154</v>
      </c>
      <c r="H62" s="2" t="n">
        <v>48.12</v>
      </c>
      <c r="I62" s="2" t="n">
        <v>0.072</v>
      </c>
      <c r="J62" s="2" t="n">
        <v>33.25</v>
      </c>
      <c r="K62" s="2" t="n">
        <v>0.7488</v>
      </c>
      <c r="L62" s="2" t="n">
        <v>0.1808</v>
      </c>
      <c r="M62" s="2" t="n">
        <v>16.17</v>
      </c>
      <c r="N62" s="2" t="n">
        <v>2.39</v>
      </c>
      <c r="O62" s="2" t="n">
        <v>0.0509</v>
      </c>
      <c r="P62" s="2" t="n">
        <v>100.99</v>
      </c>
      <c r="Q62" s="2" t="n">
        <v>2.92423964016165</v>
      </c>
      <c r="R62" s="2" t="n">
        <v>2.19100721766597</v>
      </c>
      <c r="S62" s="2" t="n">
        <v>0.00246634045949251</v>
      </c>
      <c r="T62" s="2" t="n">
        <v>1.78428648549515</v>
      </c>
      <c r="U62" s="2" t="n">
        <v>0.0285136200697712</v>
      </c>
      <c r="V62" s="2" t="n">
        <v>0.0122723378600981</v>
      </c>
      <c r="W62" s="2" t="n">
        <v>0.78886425027033</v>
      </c>
      <c r="X62" s="2" t="n">
        <v>0.210989264780416</v>
      </c>
      <c r="Y62" s="2" t="n">
        <v>0.00295662983190489</v>
      </c>
      <c r="Z62" s="2" t="n">
        <v>78.6653639570672</v>
      </c>
      <c r="AA62" s="2" t="n">
        <v>21.0398015872791</v>
      </c>
      <c r="AB62" s="2" t="n">
        <v>0.294834455653705</v>
      </c>
    </row>
    <row r="63" customFormat="false" ht="15" hidden="false" customHeight="false" outlineLevel="0" collapsed="false">
      <c r="A63" s="2" t="s">
        <v>155</v>
      </c>
      <c r="B63" s="2" t="s">
        <v>44</v>
      </c>
      <c r="C63" s="2" t="n">
        <v>2009</v>
      </c>
      <c r="D63" s="2" t="s">
        <v>61</v>
      </c>
      <c r="E63" s="2" t="s">
        <v>31</v>
      </c>
      <c r="F63" s="2" t="n">
        <v>145</v>
      </c>
      <c r="G63" s="2" t="s">
        <v>156</v>
      </c>
      <c r="H63" s="2" t="n">
        <v>47.36</v>
      </c>
      <c r="I63" s="2" t="n">
        <v>0.0709</v>
      </c>
      <c r="J63" s="2" t="n">
        <v>33.75</v>
      </c>
      <c r="K63" s="2" t="n">
        <v>0.6391</v>
      </c>
      <c r="L63" s="2" t="n">
        <v>0.1671</v>
      </c>
      <c r="M63" s="2" t="n">
        <v>16.71</v>
      </c>
      <c r="N63" s="2" t="n">
        <v>2.05</v>
      </c>
      <c r="O63" s="2" t="n">
        <v>0.0375</v>
      </c>
      <c r="P63" s="2" t="n">
        <v>100.77</v>
      </c>
      <c r="Q63" s="2" t="n">
        <v>2.91576047799866</v>
      </c>
      <c r="R63" s="2" t="n">
        <v>2.16267369708812</v>
      </c>
      <c r="S63" s="2" t="n">
        <v>0.00243572291091809</v>
      </c>
      <c r="T63" s="2" t="n">
        <v>1.81638467313693</v>
      </c>
      <c r="U63" s="2" t="n">
        <v>0.0244071154462334</v>
      </c>
      <c r="V63" s="2" t="n">
        <v>0.0113753938396351</v>
      </c>
      <c r="W63" s="2" t="n">
        <v>0.817579173837141</v>
      </c>
      <c r="X63" s="2" t="n">
        <v>0.181500336230164</v>
      </c>
      <c r="Y63" s="2" t="n">
        <v>0.00218459811688182</v>
      </c>
      <c r="Z63" s="2" t="n">
        <v>81.6546970129428</v>
      </c>
      <c r="AA63" s="2" t="n">
        <v>18.1271189835536</v>
      </c>
      <c r="AB63" s="2" t="n">
        <v>0.218184003503694</v>
      </c>
    </row>
    <row r="64" customFormat="false" ht="15" hidden="false" customHeight="false" outlineLevel="0" collapsed="false">
      <c r="A64" s="2" t="s">
        <v>157</v>
      </c>
      <c r="B64" s="2" t="s">
        <v>44</v>
      </c>
      <c r="C64" s="2" t="n">
        <v>2009</v>
      </c>
      <c r="D64" s="2" t="s">
        <v>61</v>
      </c>
      <c r="E64" s="2" t="s">
        <v>31</v>
      </c>
      <c r="F64" s="2" t="n">
        <v>146</v>
      </c>
      <c r="G64" s="2" t="s">
        <v>158</v>
      </c>
      <c r="H64" s="2" t="n">
        <v>47.55</v>
      </c>
      <c r="I64" s="2" t="n">
        <v>0.0899</v>
      </c>
      <c r="J64" s="2" t="n">
        <v>33.42</v>
      </c>
      <c r="K64" s="2" t="n">
        <v>0.7367</v>
      </c>
      <c r="L64" s="2" t="n">
        <v>0.2466</v>
      </c>
      <c r="M64" s="2" t="n">
        <v>16.68</v>
      </c>
      <c r="N64" s="2" t="n">
        <v>2.11</v>
      </c>
      <c r="O64" s="2" t="n">
        <v>0.0416</v>
      </c>
      <c r="P64" s="2" t="n">
        <v>100.88</v>
      </c>
      <c r="Q64" s="2" t="n">
        <v>2.91665879090231</v>
      </c>
      <c r="R64" s="2" t="n">
        <v>2.17068120164606</v>
      </c>
      <c r="S64" s="2" t="n">
        <v>0.00308750420062594</v>
      </c>
      <c r="T64" s="2" t="n">
        <v>1.79807050221061</v>
      </c>
      <c r="U64" s="2" t="n">
        <v>0.0281257768703977</v>
      </c>
      <c r="V64" s="2" t="n">
        <v>0.0167822151116491</v>
      </c>
      <c r="W64" s="2" t="n">
        <v>0.815859990414872</v>
      </c>
      <c r="X64" s="2" t="n">
        <v>0.186755004083467</v>
      </c>
      <c r="Y64" s="2" t="n">
        <v>0.0024227011041203</v>
      </c>
      <c r="Z64" s="2" t="n">
        <v>81.1770537547662</v>
      </c>
      <c r="AA64" s="2" t="n">
        <v>18.581890500288</v>
      </c>
      <c r="AB64" s="2" t="n">
        <v>0.241055744945769</v>
      </c>
    </row>
    <row r="65" customFormat="false" ht="15" hidden="false" customHeight="false" outlineLevel="0" collapsed="false">
      <c r="A65" s="2" t="s">
        <v>159</v>
      </c>
      <c r="B65" s="2" t="s">
        <v>44</v>
      </c>
      <c r="C65" s="2" t="n">
        <v>2009</v>
      </c>
      <c r="D65" s="2" t="s">
        <v>61</v>
      </c>
      <c r="E65" s="2" t="s">
        <v>31</v>
      </c>
      <c r="F65" s="2" t="n">
        <v>147</v>
      </c>
      <c r="G65" s="2" t="s">
        <v>160</v>
      </c>
      <c r="H65" s="2" t="n">
        <v>47.92</v>
      </c>
      <c r="I65" s="2" t="n">
        <v>0.0646</v>
      </c>
      <c r="J65" s="2" t="n">
        <v>33.49</v>
      </c>
      <c r="K65" s="2" t="n">
        <v>0.6631</v>
      </c>
      <c r="L65" s="2" t="n">
        <v>0.1638</v>
      </c>
      <c r="M65" s="2" t="n">
        <v>16.55</v>
      </c>
      <c r="N65" s="2" t="n">
        <v>2.16</v>
      </c>
      <c r="O65" s="2" t="n">
        <v>0.0419</v>
      </c>
      <c r="P65" s="2" t="n">
        <v>101.06</v>
      </c>
      <c r="Q65" s="2" t="n">
        <v>2.9258137638315</v>
      </c>
      <c r="R65" s="2" t="n">
        <v>2.18072689763299</v>
      </c>
      <c r="S65" s="2" t="n">
        <v>0.00221166492445536</v>
      </c>
      <c r="T65" s="2" t="n">
        <v>1.79619864874808</v>
      </c>
      <c r="U65" s="2" t="n">
        <v>0.025236657405538</v>
      </c>
      <c r="V65" s="2" t="n">
        <v>0.0111124304448685</v>
      </c>
      <c r="W65" s="2" t="n">
        <v>0.806968411474204</v>
      </c>
      <c r="X65" s="2" t="n">
        <v>0.190582267754985</v>
      </c>
      <c r="Y65" s="2" t="n">
        <v>0.00243253712175345</v>
      </c>
      <c r="Z65" s="2" t="n">
        <v>80.6981955576142</v>
      </c>
      <c r="AA65" s="2" t="n">
        <v>19.058546647457</v>
      </c>
      <c r="AB65" s="2" t="n">
        <v>0.243257794928806</v>
      </c>
    </row>
    <row r="66" customFormat="false" ht="15" hidden="false" customHeight="false" outlineLevel="0" collapsed="false">
      <c r="A66" s="2" t="s">
        <v>161</v>
      </c>
      <c r="B66" s="2" t="s">
        <v>29</v>
      </c>
      <c r="C66" s="2" t="n">
        <v>2009</v>
      </c>
      <c r="D66" s="2" t="s">
        <v>61</v>
      </c>
      <c r="E66" s="2" t="s">
        <v>31</v>
      </c>
      <c r="F66" s="2" t="n">
        <v>149</v>
      </c>
      <c r="G66" s="2" t="s">
        <v>162</v>
      </c>
      <c r="H66" s="2" t="n">
        <v>48.69</v>
      </c>
      <c r="I66" s="2" t="n">
        <v>0.0683</v>
      </c>
      <c r="J66" s="2" t="n">
        <v>32.66</v>
      </c>
      <c r="K66" s="2" t="n">
        <v>0.5672</v>
      </c>
      <c r="L66" s="2" t="n">
        <v>0.1733</v>
      </c>
      <c r="M66" s="2" t="n">
        <v>15.62</v>
      </c>
      <c r="N66" s="2" t="n">
        <v>2.63</v>
      </c>
      <c r="O66" s="2" t="n">
        <v>0.062</v>
      </c>
      <c r="P66" s="2" t="n">
        <v>100.46</v>
      </c>
      <c r="Q66" s="2" t="n">
        <v>2.91722923499791</v>
      </c>
      <c r="R66" s="2" t="n">
        <v>2.2222881317503</v>
      </c>
      <c r="S66" s="2" t="n">
        <v>0.00234522026081834</v>
      </c>
      <c r="T66" s="2" t="n">
        <v>1.75683720335414</v>
      </c>
      <c r="U66" s="2" t="n">
        <v>0.0216503612775382</v>
      </c>
      <c r="V66" s="2" t="n">
        <v>0.0117915213685556</v>
      </c>
      <c r="W66" s="2" t="n">
        <v>0.763863375360086</v>
      </c>
      <c r="X66" s="2" t="n">
        <v>0.232734415486063</v>
      </c>
      <c r="Y66" s="2" t="n">
        <v>0.00361005039468711</v>
      </c>
      <c r="Z66" s="2" t="n">
        <v>76.3704646038821</v>
      </c>
      <c r="AA66" s="2" t="n">
        <v>23.2686053727931</v>
      </c>
      <c r="AB66" s="2" t="n">
        <v>0.360930023324809</v>
      </c>
    </row>
    <row r="67" customFormat="false" ht="15" hidden="false" customHeight="false" outlineLevel="0" collapsed="false">
      <c r="A67" s="2" t="s">
        <v>163</v>
      </c>
      <c r="B67" s="2" t="s">
        <v>29</v>
      </c>
      <c r="C67" s="2" t="n">
        <v>2009</v>
      </c>
      <c r="D67" s="2" t="s">
        <v>61</v>
      </c>
      <c r="E67" s="2" t="s">
        <v>31</v>
      </c>
      <c r="F67" s="2" t="n">
        <v>150</v>
      </c>
      <c r="G67" s="2" t="s">
        <v>164</v>
      </c>
      <c r="H67" s="2" t="n">
        <v>48.1</v>
      </c>
      <c r="I67" s="2" t="n">
        <v>0.0666</v>
      </c>
      <c r="J67" s="2" t="n">
        <v>33.06</v>
      </c>
      <c r="K67" s="2" t="n">
        <v>0.5689</v>
      </c>
      <c r="L67" s="2" t="n">
        <v>0.1626</v>
      </c>
      <c r="M67" s="2" t="n">
        <v>16.21</v>
      </c>
      <c r="N67" s="2" t="n">
        <v>2.33</v>
      </c>
      <c r="O67" s="2" t="n">
        <v>0.0488</v>
      </c>
      <c r="P67" s="2" t="n">
        <v>100.55</v>
      </c>
      <c r="Q67" s="2" t="n">
        <v>2.91461564084309</v>
      </c>
      <c r="R67" s="2" t="n">
        <v>2.19732822725602</v>
      </c>
      <c r="S67" s="2" t="n">
        <v>0.00228889794385344</v>
      </c>
      <c r="T67" s="2" t="n">
        <v>1.77994857230796</v>
      </c>
      <c r="U67" s="2" t="n">
        <v>0.0217347237886841</v>
      </c>
      <c r="V67" s="2" t="n">
        <v>0.0110734025217953</v>
      </c>
      <c r="W67" s="2" t="n">
        <v>0.793426933658441</v>
      </c>
      <c r="X67" s="2" t="n">
        <v>0.206371655325298</v>
      </c>
      <c r="Y67" s="2" t="n">
        <v>0.00284400701348402</v>
      </c>
      <c r="Z67" s="2" t="n">
        <v>79.1335752965195</v>
      </c>
      <c r="AA67" s="2" t="n">
        <v>20.5827735774623</v>
      </c>
      <c r="AB67" s="2" t="n">
        <v>0.283651126018178</v>
      </c>
    </row>
    <row r="68" customFormat="false" ht="15" hidden="false" customHeight="false" outlineLevel="0" collapsed="false">
      <c r="A68" s="2" t="s">
        <v>165</v>
      </c>
      <c r="B68" s="2" t="s">
        <v>44</v>
      </c>
      <c r="C68" s="2" t="n">
        <v>2009</v>
      </c>
      <c r="D68" s="2" t="s">
        <v>61</v>
      </c>
      <c r="E68" s="2" t="s">
        <v>31</v>
      </c>
      <c r="F68" s="2" t="n">
        <v>151</v>
      </c>
      <c r="G68" s="2" t="s">
        <v>166</v>
      </c>
      <c r="H68" s="2" t="n">
        <v>47.58</v>
      </c>
      <c r="I68" s="2" t="n">
        <v>0.0616</v>
      </c>
      <c r="J68" s="2" t="n">
        <v>33.46</v>
      </c>
      <c r="K68" s="2" t="n">
        <v>0.6507</v>
      </c>
      <c r="L68" s="2" t="n">
        <v>0.1646</v>
      </c>
      <c r="M68" s="2" t="n">
        <v>16.51</v>
      </c>
      <c r="N68" s="2" t="n">
        <v>2.14</v>
      </c>
      <c r="O68" s="2" t="n">
        <v>0.0424</v>
      </c>
      <c r="P68" s="2" t="n">
        <v>100.62</v>
      </c>
      <c r="Q68" s="2" t="n">
        <v>2.91235502400552</v>
      </c>
      <c r="R68" s="2" t="n">
        <v>2.17526049009758</v>
      </c>
      <c r="S68" s="2" t="n">
        <v>0.0021187020539575</v>
      </c>
      <c r="T68" s="2" t="n">
        <v>1.80288289149311</v>
      </c>
      <c r="U68" s="2" t="n">
        <v>0.0248791749453886</v>
      </c>
      <c r="V68" s="2" t="n">
        <v>0.0112183078119971</v>
      </c>
      <c r="W68" s="2" t="n">
        <v>0.808738229540741</v>
      </c>
      <c r="X68" s="2" t="n">
        <v>0.189690191783714</v>
      </c>
      <c r="Y68" s="2" t="n">
        <v>0.00247294053454563</v>
      </c>
      <c r="Z68" s="2" t="n">
        <v>80.8009920216963</v>
      </c>
      <c r="AA68" s="2" t="n">
        <v>18.951936625543</v>
      </c>
      <c r="AB68" s="2" t="n">
        <v>0.247071352760732</v>
      </c>
    </row>
    <row r="69" customFormat="false" ht="15" hidden="false" customHeight="false" outlineLevel="0" collapsed="false">
      <c r="A69" s="2" t="s">
        <v>167</v>
      </c>
      <c r="B69" s="2" t="s">
        <v>44</v>
      </c>
      <c r="C69" s="2" t="n">
        <v>2009</v>
      </c>
      <c r="D69" s="2" t="s">
        <v>61</v>
      </c>
      <c r="E69" s="2" t="s">
        <v>31</v>
      </c>
      <c r="F69" s="2" t="n">
        <v>152</v>
      </c>
      <c r="G69" s="2" t="s">
        <v>168</v>
      </c>
      <c r="H69" s="2" t="n">
        <v>47.1</v>
      </c>
      <c r="I69" s="2" t="n">
        <v>0.0562</v>
      </c>
      <c r="J69" s="2" t="n">
        <v>33.94</v>
      </c>
      <c r="K69" s="2" t="n">
        <v>0.6273</v>
      </c>
      <c r="L69" s="2" t="n">
        <v>0.1734</v>
      </c>
      <c r="M69" s="2" t="n">
        <v>16.71</v>
      </c>
      <c r="N69" s="2" t="n">
        <v>1.98</v>
      </c>
      <c r="O69" s="2" t="n">
        <v>0.0313</v>
      </c>
      <c r="P69" s="2" t="n">
        <v>100.62</v>
      </c>
      <c r="Q69" s="2" t="n">
        <v>2.9111250108583</v>
      </c>
      <c r="R69" s="2" t="n">
        <v>2.15422569219822</v>
      </c>
      <c r="S69" s="2" t="n">
        <v>0.00193378840135088</v>
      </c>
      <c r="T69" s="2" t="n">
        <v>1.82951880955102</v>
      </c>
      <c r="U69" s="2" t="n">
        <v>0.0239946221201021</v>
      </c>
      <c r="V69" s="2" t="n">
        <v>0.0118230649249212</v>
      </c>
      <c r="W69" s="2" t="n">
        <v>0.818881028405676</v>
      </c>
      <c r="X69" s="2" t="n">
        <v>0.17558190334948</v>
      </c>
      <c r="Y69" s="2" t="n">
        <v>0.00182631469777627</v>
      </c>
      <c r="Z69" s="2" t="n">
        <v>82.1931011823244</v>
      </c>
      <c r="AA69" s="2" t="n">
        <v>17.6235871233782</v>
      </c>
      <c r="AB69" s="2" t="n">
        <v>0.18331169429746</v>
      </c>
    </row>
    <row r="70" customFormat="false" ht="15" hidden="false" customHeight="false" outlineLevel="0" collapsed="false">
      <c r="A70" s="2" t="s">
        <v>169</v>
      </c>
      <c r="B70" s="2" t="s">
        <v>44</v>
      </c>
      <c r="C70" s="2" t="n">
        <v>2009</v>
      </c>
      <c r="D70" s="2" t="s">
        <v>61</v>
      </c>
      <c r="E70" s="2" t="s">
        <v>31</v>
      </c>
      <c r="F70" s="2" t="n">
        <v>153</v>
      </c>
      <c r="G70" s="2" t="s">
        <v>170</v>
      </c>
      <c r="H70" s="2" t="n">
        <v>47.95</v>
      </c>
      <c r="I70" s="2" t="n">
        <v>0.0614</v>
      </c>
      <c r="J70" s="2" t="n">
        <v>33.33</v>
      </c>
      <c r="K70" s="2" t="n">
        <v>0.7084</v>
      </c>
      <c r="L70" s="2" t="n">
        <v>0.1812</v>
      </c>
      <c r="M70" s="2" t="n">
        <v>16.4</v>
      </c>
      <c r="N70" s="2" t="n">
        <v>2.22</v>
      </c>
      <c r="O70" s="2" t="n">
        <v>0.0465</v>
      </c>
      <c r="P70" s="2" t="n">
        <v>100.9</v>
      </c>
      <c r="Q70" s="2" t="n">
        <v>2.9214288112125</v>
      </c>
      <c r="R70" s="2" t="n">
        <v>2.18536736393431</v>
      </c>
      <c r="S70" s="2" t="n">
        <v>0.00210526395185782</v>
      </c>
      <c r="T70" s="2" t="n">
        <v>1.79030037282222</v>
      </c>
      <c r="U70" s="2" t="n">
        <v>0.027001178962969</v>
      </c>
      <c r="V70" s="2" t="n">
        <v>0.012311322903321</v>
      </c>
      <c r="W70" s="2" t="n">
        <v>0.800854749117372</v>
      </c>
      <c r="X70" s="2" t="n">
        <v>0.196170222331572</v>
      </c>
      <c r="Y70" s="2" t="n">
        <v>0.00270364568976766</v>
      </c>
      <c r="Z70" s="2" t="n">
        <v>80.1072146368552</v>
      </c>
      <c r="AA70" s="2" t="n">
        <v>19.6223474019404</v>
      </c>
      <c r="AB70" s="2" t="n">
        <v>0.270437961204479</v>
      </c>
    </row>
    <row r="71" customFormat="false" ht="15" hidden="false" customHeight="false" outlineLevel="0" collapsed="false">
      <c r="A71" s="2" t="s">
        <v>171</v>
      </c>
      <c r="B71" s="2" t="s">
        <v>44</v>
      </c>
      <c r="C71" s="2" t="n">
        <v>2009</v>
      </c>
      <c r="D71" s="2" t="s">
        <v>61</v>
      </c>
      <c r="E71" s="2" t="s">
        <v>31</v>
      </c>
      <c r="F71" s="2" t="n">
        <v>154</v>
      </c>
      <c r="G71" s="2" t="s">
        <v>172</v>
      </c>
      <c r="H71" s="2" t="n">
        <v>47.46</v>
      </c>
      <c r="I71" s="2" t="n">
        <v>0.0664</v>
      </c>
      <c r="J71" s="2" t="n">
        <v>33.61</v>
      </c>
      <c r="K71" s="2" t="n">
        <v>0.6835</v>
      </c>
      <c r="L71" s="2" t="n">
        <v>0.1656</v>
      </c>
      <c r="M71" s="2" t="n">
        <v>16.6</v>
      </c>
      <c r="N71" s="2" t="n">
        <v>2.1</v>
      </c>
      <c r="O71" s="2" t="n">
        <v>0.0484</v>
      </c>
      <c r="P71" s="2" t="n">
        <v>100.73</v>
      </c>
      <c r="Q71" s="2" t="n">
        <v>2.91439888122182</v>
      </c>
      <c r="R71" s="2" t="n">
        <v>2.16825268025461</v>
      </c>
      <c r="S71" s="2" t="n">
        <v>0.00228219410296061</v>
      </c>
      <c r="T71" s="2" t="n">
        <v>1.80969512871488</v>
      </c>
      <c r="U71" s="2" t="n">
        <v>0.0261149386661647</v>
      </c>
      <c r="V71" s="2" t="n">
        <v>0.0112785476256416</v>
      </c>
      <c r="W71" s="2" t="n">
        <v>0.81257660017899</v>
      </c>
      <c r="X71" s="2" t="n">
        <v>0.186014038212512</v>
      </c>
      <c r="Y71" s="2" t="n">
        <v>0.00282090527097873</v>
      </c>
      <c r="Z71" s="2" t="n">
        <v>81.1431229569353</v>
      </c>
      <c r="AA71" s="2" t="n">
        <v>18.5751841378021</v>
      </c>
      <c r="AB71" s="2" t="n">
        <v>0.281692905262683</v>
      </c>
    </row>
    <row r="72" customFormat="false" ht="15" hidden="false" customHeight="false" outlineLevel="0" collapsed="false">
      <c r="A72" s="2" t="s">
        <v>173</v>
      </c>
      <c r="B72" s="2" t="s">
        <v>29</v>
      </c>
      <c r="C72" s="2" t="n">
        <v>2009</v>
      </c>
      <c r="D72" s="2" t="s">
        <v>61</v>
      </c>
      <c r="E72" s="2" t="s">
        <v>31</v>
      </c>
      <c r="F72" s="2" t="n">
        <v>156</v>
      </c>
      <c r="G72" s="2" t="s">
        <v>174</v>
      </c>
      <c r="H72" s="2" t="n">
        <v>49.74</v>
      </c>
      <c r="I72" s="2" t="n">
        <v>0.0749</v>
      </c>
      <c r="J72" s="2" t="n">
        <v>32.09</v>
      </c>
      <c r="K72" s="2" t="n">
        <v>0.6044</v>
      </c>
      <c r="L72" s="2" t="n">
        <v>0.2026</v>
      </c>
      <c r="M72" s="2" t="n">
        <v>15.02</v>
      </c>
      <c r="N72" s="2" t="n">
        <v>2.95</v>
      </c>
      <c r="O72" s="2" t="n">
        <v>0.0621</v>
      </c>
      <c r="P72" s="2" t="n">
        <v>100.74</v>
      </c>
      <c r="Q72" s="2" t="n">
        <v>2.93128375449434</v>
      </c>
      <c r="R72" s="2" t="n">
        <v>2.25932688037897</v>
      </c>
      <c r="S72" s="2" t="n">
        <v>0.00255951363579027</v>
      </c>
      <c r="T72" s="2" t="n">
        <v>1.71789949656095</v>
      </c>
      <c r="U72" s="2" t="n">
        <v>0.0229596930350525</v>
      </c>
      <c r="V72" s="2" t="n">
        <v>0.0137190303464816</v>
      </c>
      <c r="W72" s="2" t="n">
        <v>0.730999848259923</v>
      </c>
      <c r="X72" s="2" t="n">
        <v>0.259800254813492</v>
      </c>
      <c r="Y72" s="2" t="n">
        <v>0.00359853616171503</v>
      </c>
      <c r="Z72" s="2" t="n">
        <v>73.5117506619068</v>
      </c>
      <c r="AA72" s="2" t="n">
        <v>26.1263686979022</v>
      </c>
      <c r="AB72" s="2" t="n">
        <v>0.361880640191035</v>
      </c>
    </row>
    <row r="73" customFormat="false" ht="15" hidden="false" customHeight="false" outlineLevel="0" collapsed="false">
      <c r="A73" s="2" t="s">
        <v>175</v>
      </c>
      <c r="B73" s="2" t="s">
        <v>29</v>
      </c>
      <c r="C73" s="2" t="n">
        <v>2009</v>
      </c>
      <c r="D73" s="2" t="s">
        <v>61</v>
      </c>
      <c r="E73" s="2" t="s">
        <v>31</v>
      </c>
      <c r="F73" s="2" t="n">
        <v>157</v>
      </c>
      <c r="G73" s="2" t="s">
        <v>176</v>
      </c>
      <c r="H73" s="2" t="n">
        <v>49.49</v>
      </c>
      <c r="I73" s="2" t="n">
        <v>0.095</v>
      </c>
      <c r="J73" s="2" t="n">
        <v>32.27</v>
      </c>
      <c r="K73" s="2" t="n">
        <v>0.6725</v>
      </c>
      <c r="L73" s="2" t="n">
        <v>0.179</v>
      </c>
      <c r="M73" s="2" t="n">
        <v>15.16</v>
      </c>
      <c r="N73" s="2" t="n">
        <v>2.97</v>
      </c>
      <c r="O73" s="2" t="n">
        <v>0.0669</v>
      </c>
      <c r="P73" s="2" t="n">
        <v>100.9</v>
      </c>
      <c r="Q73" s="2" t="n">
        <v>2.93199411611164</v>
      </c>
      <c r="R73" s="2" t="n">
        <v>2.24742655942891</v>
      </c>
      <c r="S73" s="2" t="n">
        <v>0.00324559258020718</v>
      </c>
      <c r="T73" s="2" t="n">
        <v>1.72711703355448</v>
      </c>
      <c r="U73" s="2" t="n">
        <v>0.0255404577723622</v>
      </c>
      <c r="V73" s="2" t="n">
        <v>0.0121180230260196</v>
      </c>
      <c r="W73" s="2" t="n">
        <v>0.737634671781303</v>
      </c>
      <c r="X73" s="2" t="n">
        <v>0.261498241496803</v>
      </c>
      <c r="Y73" s="2" t="n">
        <v>0.00387574464392303</v>
      </c>
      <c r="Z73" s="2" t="n">
        <v>73.5422038439318</v>
      </c>
      <c r="AA73" s="2" t="n">
        <v>26.0713842728495</v>
      </c>
      <c r="AB73" s="2" t="n">
        <v>0.386411883218691</v>
      </c>
    </row>
    <row r="74" customFormat="false" ht="15" hidden="false" customHeight="false" outlineLevel="0" collapsed="false">
      <c r="A74" s="2" t="s">
        <v>177</v>
      </c>
      <c r="B74" s="2" t="s">
        <v>29</v>
      </c>
      <c r="C74" s="2" t="n">
        <v>2009</v>
      </c>
      <c r="D74" s="2" t="s">
        <v>61</v>
      </c>
      <c r="E74" s="2" t="s">
        <v>31</v>
      </c>
      <c r="F74" s="2" t="n">
        <v>158</v>
      </c>
      <c r="G74" s="2" t="s">
        <v>178</v>
      </c>
      <c r="H74" s="2" t="n">
        <v>48.03</v>
      </c>
      <c r="I74" s="2" t="n">
        <v>0.0702</v>
      </c>
      <c r="J74" s="2" t="n">
        <v>33.45</v>
      </c>
      <c r="K74" s="2" t="n">
        <v>0.7261</v>
      </c>
      <c r="L74" s="2" t="n">
        <v>0.1582</v>
      </c>
      <c r="M74" s="2" t="n">
        <v>16.56</v>
      </c>
      <c r="N74" s="2" t="n">
        <v>2.22</v>
      </c>
      <c r="O74" s="2" t="n">
        <v>0.0357</v>
      </c>
      <c r="P74" s="2" t="n">
        <v>101.24</v>
      </c>
      <c r="Q74" s="2" t="n">
        <v>2.93025715148467</v>
      </c>
      <c r="R74" s="2" t="n">
        <v>2.18241833521397</v>
      </c>
      <c r="S74" s="2" t="n">
        <v>0.00239974374630402</v>
      </c>
      <c r="T74" s="2" t="n">
        <v>1.79133282436469</v>
      </c>
      <c r="U74" s="2" t="n">
        <v>0.0275924449662683</v>
      </c>
      <c r="V74" s="2" t="n">
        <v>0.0107162437010182</v>
      </c>
      <c r="W74" s="2" t="n">
        <v>0.806231594353938</v>
      </c>
      <c r="X74" s="2" t="n">
        <v>0.195579196566775</v>
      </c>
      <c r="Y74" s="2" t="n">
        <v>0.00206944845562963</v>
      </c>
      <c r="Z74" s="2" t="n">
        <v>80.3115314686149</v>
      </c>
      <c r="AA74" s="2" t="n">
        <v>19.4823235775891</v>
      </c>
      <c r="AB74" s="2" t="n">
        <v>0.206144953796009</v>
      </c>
    </row>
    <row r="75" customFormat="false" ht="15" hidden="false" customHeight="false" outlineLevel="0" collapsed="false">
      <c r="A75" s="2" t="s">
        <v>179</v>
      </c>
      <c r="B75" s="2" t="s">
        <v>29</v>
      </c>
      <c r="C75" s="2" t="n">
        <v>2009</v>
      </c>
      <c r="D75" s="2" t="s">
        <v>61</v>
      </c>
      <c r="E75" s="2" t="s">
        <v>31</v>
      </c>
      <c r="F75" s="2" t="n">
        <v>159</v>
      </c>
      <c r="G75" s="2" t="s">
        <v>180</v>
      </c>
      <c r="H75" s="2" t="n">
        <v>48.14</v>
      </c>
      <c r="I75" s="2" t="n">
        <v>0.0583</v>
      </c>
      <c r="J75" s="2" t="n">
        <v>33.03</v>
      </c>
      <c r="K75" s="2" t="n">
        <v>0.5912</v>
      </c>
      <c r="L75" s="2" t="n">
        <v>0.1719</v>
      </c>
      <c r="M75" s="2" t="n">
        <v>16.09</v>
      </c>
      <c r="N75" s="2" t="n">
        <v>2.4</v>
      </c>
      <c r="O75" s="2" t="n">
        <v>0.0514</v>
      </c>
      <c r="P75" s="2" t="n">
        <v>100.53</v>
      </c>
      <c r="Q75" s="2" t="n">
        <v>2.91441481235899</v>
      </c>
      <c r="R75" s="2" t="n">
        <v>2.19930706814644</v>
      </c>
      <c r="S75" s="2" t="n">
        <v>0.00200378296532606</v>
      </c>
      <c r="T75" s="2" t="n">
        <v>1.7784559165758</v>
      </c>
      <c r="U75" s="2" t="n">
        <v>0.0225882477600918</v>
      </c>
      <c r="V75" s="2" t="n">
        <v>0.0117075588093862</v>
      </c>
      <c r="W75" s="2" t="n">
        <v>0.787607592060175</v>
      </c>
      <c r="X75" s="2" t="n">
        <v>0.212586310170757</v>
      </c>
      <c r="Y75" s="2" t="n">
        <v>0.00299573839547822</v>
      </c>
      <c r="Z75" s="2" t="n">
        <v>78.5103394377536</v>
      </c>
      <c r="AA75" s="2" t="n">
        <v>21.1910392174718</v>
      </c>
      <c r="AB75" s="2" t="n">
        <v>0.298621344774616</v>
      </c>
    </row>
    <row r="76" customFormat="false" ht="15" hidden="false" customHeight="false" outlineLevel="0" collapsed="false">
      <c r="A76" s="2" t="s">
        <v>181</v>
      </c>
      <c r="B76" s="2" t="s">
        <v>29</v>
      </c>
      <c r="C76" s="2" t="n">
        <v>2009</v>
      </c>
      <c r="D76" s="2" t="s">
        <v>61</v>
      </c>
      <c r="E76" s="2" t="s">
        <v>31</v>
      </c>
      <c r="F76" s="2" t="n">
        <v>160</v>
      </c>
      <c r="G76" s="2" t="s">
        <v>182</v>
      </c>
      <c r="H76" s="2" t="n">
        <v>47.82</v>
      </c>
      <c r="I76" s="2" t="n">
        <v>0.0707</v>
      </c>
      <c r="J76" s="2" t="n">
        <v>33.47</v>
      </c>
      <c r="K76" s="2" t="n">
        <v>0.5412</v>
      </c>
      <c r="L76" s="2" t="n">
        <v>0.1677</v>
      </c>
      <c r="M76" s="2" t="n">
        <v>16.44</v>
      </c>
      <c r="N76" s="2" t="n">
        <v>2.19</v>
      </c>
      <c r="O76" s="2" t="n">
        <v>0.0453</v>
      </c>
      <c r="P76" s="2" t="n">
        <v>100.74</v>
      </c>
      <c r="Q76" s="2" t="n">
        <v>2.91900796262621</v>
      </c>
      <c r="R76" s="2" t="n">
        <v>2.18124998664283</v>
      </c>
      <c r="S76" s="2" t="n">
        <v>0.00242614987099585</v>
      </c>
      <c r="T76" s="2" t="n">
        <v>1.79931138983873</v>
      </c>
      <c r="U76" s="2" t="n">
        <v>0.0206453376967009</v>
      </c>
      <c r="V76" s="2" t="n">
        <v>0.0114035381487105</v>
      </c>
      <c r="W76" s="2" t="n">
        <v>0.803473853808171</v>
      </c>
      <c r="X76" s="2" t="n">
        <v>0.193679766557384</v>
      </c>
      <c r="Y76" s="2" t="n">
        <v>0.00263605856398228</v>
      </c>
      <c r="Z76" s="2" t="n">
        <v>80.3642876838298</v>
      </c>
      <c r="AA76" s="2" t="n">
        <v>19.3720510062431</v>
      </c>
      <c r="AB76" s="2" t="n">
        <v>0.263661309927172</v>
      </c>
    </row>
    <row r="77" customFormat="false" ht="15" hidden="false" customHeight="false" outlineLevel="0" collapsed="false">
      <c r="A77" s="2" t="s">
        <v>183</v>
      </c>
      <c r="B77" s="2" t="s">
        <v>29</v>
      </c>
      <c r="C77" s="2" t="n">
        <v>2009</v>
      </c>
      <c r="D77" s="2" t="s">
        <v>61</v>
      </c>
      <c r="E77" s="2" t="s">
        <v>31</v>
      </c>
      <c r="F77" s="2" t="n">
        <v>161</v>
      </c>
      <c r="G77" s="2" t="s">
        <v>184</v>
      </c>
      <c r="H77" s="2" t="n">
        <v>47.3</v>
      </c>
      <c r="I77" s="2" t="n">
        <v>0.0688</v>
      </c>
      <c r="J77" s="2" t="n">
        <v>33.65</v>
      </c>
      <c r="K77" s="2" t="n">
        <v>0.546</v>
      </c>
      <c r="L77" s="2" t="n">
        <v>0.1411</v>
      </c>
      <c r="M77" s="2" t="n">
        <v>16.69</v>
      </c>
      <c r="N77" s="2" t="n">
        <v>2.06</v>
      </c>
      <c r="O77" s="2" t="n">
        <v>0.0342</v>
      </c>
      <c r="P77" s="2" t="n">
        <v>100.49</v>
      </c>
      <c r="Q77" s="2" t="n">
        <v>2.90859708215733</v>
      </c>
      <c r="R77" s="2" t="n">
        <v>2.16525338478561</v>
      </c>
      <c r="S77" s="2" t="n">
        <v>0.00236939989635161</v>
      </c>
      <c r="T77" s="2" t="n">
        <v>1.81546299440056</v>
      </c>
      <c r="U77" s="2" t="n">
        <v>0.0209029971523974</v>
      </c>
      <c r="V77" s="2" t="n">
        <v>0.00962909089902618</v>
      </c>
      <c r="W77" s="2" t="n">
        <v>0.818611775977935</v>
      </c>
      <c r="X77" s="2" t="n">
        <v>0.182834889690493</v>
      </c>
      <c r="Y77" s="2" t="n">
        <v>0.00199726032127087</v>
      </c>
      <c r="Z77" s="2" t="n">
        <v>81.5802213532298</v>
      </c>
      <c r="AA77" s="2" t="n">
        <v>18.2207380955704</v>
      </c>
      <c r="AB77" s="2" t="n">
        <v>0.199040551199806</v>
      </c>
    </row>
    <row r="78" customFormat="false" ht="15" hidden="false" customHeight="false" outlineLevel="0" collapsed="false">
      <c r="A78" s="2" t="s">
        <v>185</v>
      </c>
      <c r="B78" s="2" t="s">
        <v>29</v>
      </c>
      <c r="C78" s="2" t="n">
        <v>2009</v>
      </c>
      <c r="D78" s="2" t="s">
        <v>61</v>
      </c>
      <c r="E78" s="2" t="s">
        <v>31</v>
      </c>
      <c r="F78" s="2" t="n">
        <v>162</v>
      </c>
      <c r="G78" s="2" t="s">
        <v>186</v>
      </c>
      <c r="H78" s="2" t="n">
        <v>48</v>
      </c>
      <c r="I78" s="2" t="n">
        <v>0.059</v>
      </c>
      <c r="J78" s="2" t="n">
        <v>33.28</v>
      </c>
      <c r="K78" s="2" t="n">
        <v>0.6091</v>
      </c>
      <c r="L78" s="2" t="n">
        <v>0.186</v>
      </c>
      <c r="M78" s="2" t="n">
        <v>16.36</v>
      </c>
      <c r="N78" s="2" t="n">
        <v>2.29</v>
      </c>
      <c r="O78" s="2" t="n">
        <v>0.0366</v>
      </c>
      <c r="P78" s="2" t="n">
        <v>100.82</v>
      </c>
      <c r="Q78" s="2" t="n">
        <v>2.92060983794376</v>
      </c>
      <c r="R78" s="2" t="n">
        <v>2.18825960367323</v>
      </c>
      <c r="S78" s="2" t="n">
        <v>0.00202354076973618</v>
      </c>
      <c r="T78" s="2" t="n">
        <v>1.78811592181568</v>
      </c>
      <c r="U78" s="2" t="n">
        <v>0.0232227976778124</v>
      </c>
      <c r="V78" s="2" t="n">
        <v>0.0126409943518019</v>
      </c>
      <c r="W78" s="2" t="n">
        <v>0.799125466190608</v>
      </c>
      <c r="X78" s="2" t="n">
        <v>0.202412512814868</v>
      </c>
      <c r="Y78" s="2" t="n">
        <v>0.00212862752578514</v>
      </c>
      <c r="Z78" s="2" t="n">
        <v>79.6206091734425</v>
      </c>
      <c r="AA78" s="2" t="n">
        <v>20.1673057066648</v>
      </c>
      <c r="AB78" s="2" t="n">
        <v>0.212085119892732</v>
      </c>
    </row>
    <row r="79" customFormat="false" ht="15" hidden="false" customHeight="false" outlineLevel="0" collapsed="false">
      <c r="A79" s="2" t="s">
        <v>187</v>
      </c>
      <c r="B79" s="2" t="s">
        <v>29</v>
      </c>
      <c r="C79" s="2" t="n">
        <v>2009</v>
      </c>
      <c r="D79" s="2" t="s">
        <v>61</v>
      </c>
      <c r="E79" s="2" t="s">
        <v>31</v>
      </c>
      <c r="F79" s="2" t="n">
        <v>163</v>
      </c>
      <c r="G79" s="2" t="s">
        <v>188</v>
      </c>
      <c r="H79" s="2" t="n">
        <v>49.54</v>
      </c>
      <c r="I79" s="2" t="n">
        <v>0.078</v>
      </c>
      <c r="J79" s="2" t="n">
        <v>32.23</v>
      </c>
      <c r="K79" s="2" t="n">
        <v>0.574</v>
      </c>
      <c r="L79" s="2" t="n">
        <v>0.1991</v>
      </c>
      <c r="M79" s="2" t="n">
        <v>15</v>
      </c>
      <c r="N79" s="2" t="n">
        <v>2.94</v>
      </c>
      <c r="O79" s="2" t="n">
        <v>0.0657</v>
      </c>
      <c r="P79" s="2" t="n">
        <v>100.62</v>
      </c>
      <c r="Q79" s="2" t="n">
        <v>2.9278335032885</v>
      </c>
      <c r="R79" s="2" t="n">
        <v>2.25289408964399</v>
      </c>
      <c r="S79" s="2" t="n">
        <v>0.00266858916003548</v>
      </c>
      <c r="T79" s="2" t="n">
        <v>1.72742748682206</v>
      </c>
      <c r="U79" s="2" t="n">
        <v>0.0218305661652273</v>
      </c>
      <c r="V79" s="2" t="n">
        <v>0.0134979159882671</v>
      </c>
      <c r="W79" s="2" t="n">
        <v>0.730886765814565</v>
      </c>
      <c r="X79" s="2" t="n">
        <v>0.259224694966048</v>
      </c>
      <c r="Y79" s="2" t="n">
        <v>0.00381163341556633</v>
      </c>
      <c r="Z79" s="2" t="n">
        <v>73.5355451626425</v>
      </c>
      <c r="AA79" s="2" t="n">
        <v>26.0809610401187</v>
      </c>
      <c r="AB79" s="2" t="n">
        <v>0.383493797238803</v>
      </c>
    </row>
    <row r="80" customFormat="false" ht="15" hidden="false" customHeight="false" outlineLevel="0" collapsed="false">
      <c r="A80" s="2" t="s">
        <v>189</v>
      </c>
      <c r="B80" s="2" t="s">
        <v>29</v>
      </c>
      <c r="C80" s="2" t="n">
        <v>2009</v>
      </c>
      <c r="D80" s="2" t="s">
        <v>61</v>
      </c>
      <c r="E80" s="2" t="s">
        <v>31</v>
      </c>
      <c r="F80" s="2" t="n">
        <v>164</v>
      </c>
      <c r="G80" s="2" t="s">
        <v>190</v>
      </c>
      <c r="H80" s="2" t="n">
        <v>47.54</v>
      </c>
      <c r="I80" s="2" t="n">
        <v>0.0667</v>
      </c>
      <c r="J80" s="2" t="n">
        <v>33.91</v>
      </c>
      <c r="K80" s="2" t="n">
        <v>0.6433</v>
      </c>
      <c r="L80" s="2" t="n">
        <v>0.1615</v>
      </c>
      <c r="M80" s="2" t="n">
        <v>16.48</v>
      </c>
      <c r="N80" s="2" t="n">
        <v>2.14</v>
      </c>
      <c r="O80" s="2" t="n">
        <v>0.0447</v>
      </c>
      <c r="P80" s="2" t="n">
        <v>100.98</v>
      </c>
      <c r="Q80" s="2" t="n">
        <v>2.92370114920883</v>
      </c>
      <c r="R80" s="2" t="n">
        <v>2.16499724722683</v>
      </c>
      <c r="S80" s="2" t="n">
        <v>0.0022852112134585</v>
      </c>
      <c r="T80" s="2" t="n">
        <v>1.82003905679981</v>
      </c>
      <c r="U80" s="2" t="n">
        <v>0.0245007881851186</v>
      </c>
      <c r="V80" s="2" t="n">
        <v>0.010964311993617</v>
      </c>
      <c r="W80" s="2" t="n">
        <v>0.80413588681059</v>
      </c>
      <c r="X80" s="2" t="n">
        <v>0.188954053390637</v>
      </c>
      <c r="Y80" s="2" t="n">
        <v>0.00259696847014467</v>
      </c>
      <c r="Z80" s="2" t="n">
        <v>80.7619222275018</v>
      </c>
      <c r="AA80" s="2" t="n">
        <v>18.9772559772604</v>
      </c>
      <c r="AB80" s="2" t="n">
        <v>0.260821795237824</v>
      </c>
    </row>
    <row r="81" customFormat="false" ht="15" hidden="false" customHeight="false" outlineLevel="0" collapsed="false">
      <c r="A81" s="2" t="s">
        <v>191</v>
      </c>
      <c r="B81" s="2" t="s">
        <v>29</v>
      </c>
      <c r="C81" s="2" t="n">
        <v>2009</v>
      </c>
      <c r="D81" s="2" t="s">
        <v>61</v>
      </c>
      <c r="E81" s="2" t="s">
        <v>31</v>
      </c>
      <c r="F81" s="2" t="n">
        <v>166</v>
      </c>
      <c r="G81" s="2" t="s">
        <v>192</v>
      </c>
      <c r="H81" s="2" t="n">
        <v>49.28</v>
      </c>
      <c r="I81" s="2" t="n">
        <v>0.0894</v>
      </c>
      <c r="J81" s="2" t="n">
        <v>32.28</v>
      </c>
      <c r="K81" s="2" t="n">
        <v>0.7494</v>
      </c>
      <c r="L81" s="2" t="n">
        <v>0.1988</v>
      </c>
      <c r="M81" s="2" t="n">
        <v>15.35</v>
      </c>
      <c r="N81" s="2" t="n">
        <v>2.91</v>
      </c>
      <c r="O81" s="2" t="n">
        <v>0.0632</v>
      </c>
      <c r="P81" s="2" t="n">
        <v>100.93</v>
      </c>
      <c r="Q81" s="2" t="n">
        <v>2.929100385308</v>
      </c>
      <c r="R81" s="2" t="n">
        <v>2.24010096299426</v>
      </c>
      <c r="S81" s="2" t="n">
        <v>0.00305729083099974</v>
      </c>
      <c r="T81" s="2" t="n">
        <v>1.72935903223917</v>
      </c>
      <c r="U81" s="2" t="n">
        <v>0.028489112198356</v>
      </c>
      <c r="V81" s="2" t="n">
        <v>0.0134717483270593</v>
      </c>
      <c r="W81" s="2" t="n">
        <v>0.747617294186125</v>
      </c>
      <c r="X81" s="2" t="n">
        <v>0.256468570325736</v>
      </c>
      <c r="Y81" s="2" t="n">
        <v>0.00366500823263953</v>
      </c>
      <c r="Z81" s="2" t="n">
        <v>74.1867176110769</v>
      </c>
      <c r="AA81" s="2" t="n">
        <v>25.4496004183327</v>
      </c>
      <c r="AB81" s="2" t="n">
        <v>0.363681970590437</v>
      </c>
    </row>
    <row r="82" customFormat="false" ht="15" hidden="false" customHeight="false" outlineLevel="0" collapsed="false">
      <c r="A82" s="2" t="s">
        <v>193</v>
      </c>
      <c r="B82" s="2" t="s">
        <v>29</v>
      </c>
      <c r="C82" s="2" t="n">
        <v>2009</v>
      </c>
      <c r="D82" s="2" t="s">
        <v>61</v>
      </c>
      <c r="E82" s="2" t="s">
        <v>31</v>
      </c>
      <c r="F82" s="2" t="n">
        <v>167</v>
      </c>
      <c r="G82" s="2" t="s">
        <v>194</v>
      </c>
      <c r="H82" s="2" t="n">
        <v>47.68</v>
      </c>
      <c r="I82" s="2" t="n">
        <v>0.0717</v>
      </c>
      <c r="J82" s="2" t="n">
        <v>33.22</v>
      </c>
      <c r="K82" s="2" t="n">
        <v>0.6205</v>
      </c>
      <c r="L82" s="2" t="n">
        <v>0.1701</v>
      </c>
      <c r="M82" s="2" t="n">
        <v>16.36</v>
      </c>
      <c r="N82" s="2" t="n">
        <v>2.24</v>
      </c>
      <c r="O82" s="2" t="n">
        <v>0.0472</v>
      </c>
      <c r="P82" s="2" t="n">
        <v>100.41</v>
      </c>
      <c r="Q82" s="2" t="n">
        <v>2.90758072254026</v>
      </c>
      <c r="R82" s="2" t="n">
        <v>2.18341161103635</v>
      </c>
      <c r="S82" s="2" t="n">
        <v>0.00247013600397434</v>
      </c>
      <c r="T82" s="2" t="n">
        <v>1.79289040800424</v>
      </c>
      <c r="U82" s="2" t="n">
        <v>0.0237634497632623</v>
      </c>
      <c r="V82" s="2" t="n">
        <v>0.0116121963225772</v>
      </c>
      <c r="W82" s="2" t="n">
        <v>0.802706415066818</v>
      </c>
      <c r="X82" s="2" t="n">
        <v>0.19888024914751</v>
      </c>
      <c r="Y82" s="2" t="n">
        <v>0.00275741637315029</v>
      </c>
      <c r="Z82" s="2" t="n">
        <v>79.9234476094374</v>
      </c>
      <c r="AA82" s="2" t="n">
        <v>19.8020034161178</v>
      </c>
      <c r="AB82" s="2" t="n">
        <v>0.274548974444831</v>
      </c>
    </row>
    <row r="83" customFormat="false" ht="15" hidden="false" customHeight="false" outlineLevel="0" collapsed="false">
      <c r="A83" s="2" t="s">
        <v>195</v>
      </c>
      <c r="B83" s="2" t="s">
        <v>29</v>
      </c>
      <c r="C83" s="2" t="n">
        <v>2009</v>
      </c>
      <c r="D83" s="2" t="s">
        <v>61</v>
      </c>
      <c r="E83" s="2" t="s">
        <v>31</v>
      </c>
      <c r="F83" s="2" t="n">
        <v>168</v>
      </c>
      <c r="G83" s="2" t="s">
        <v>196</v>
      </c>
      <c r="H83" s="2" t="n">
        <v>48.81</v>
      </c>
      <c r="I83" s="2" t="n">
        <v>0.0853</v>
      </c>
      <c r="J83" s="2" t="n">
        <v>32.42</v>
      </c>
      <c r="K83" s="2" t="n">
        <v>0.6223</v>
      </c>
      <c r="L83" s="2" t="n">
        <v>0.1758</v>
      </c>
      <c r="M83" s="2" t="n">
        <v>15.64</v>
      </c>
      <c r="N83" s="2" t="n">
        <v>2.68</v>
      </c>
      <c r="O83" s="2" t="n">
        <v>0.0544</v>
      </c>
      <c r="P83" s="2" t="n">
        <v>100.49</v>
      </c>
      <c r="Q83" s="2" t="n">
        <v>2.91649949939614</v>
      </c>
      <c r="R83" s="2" t="n">
        <v>2.22832252815151</v>
      </c>
      <c r="S83" s="2" t="n">
        <v>0.00292968289839805</v>
      </c>
      <c r="T83" s="2" t="n">
        <v>1.74436354027043</v>
      </c>
      <c r="U83" s="2" t="n">
        <v>0.023759504406335</v>
      </c>
      <c r="V83" s="2" t="n">
        <v>0.0119646170111963</v>
      </c>
      <c r="W83" s="2" t="n">
        <v>0.765032803978426</v>
      </c>
      <c r="X83" s="2" t="n">
        <v>0.2372183635636</v>
      </c>
      <c r="Y83" s="2" t="n">
        <v>0.00316832063355699</v>
      </c>
      <c r="Z83" s="2" t="n">
        <v>76.0909066290969</v>
      </c>
      <c r="AA83" s="2" t="n">
        <v>23.5939691197007</v>
      </c>
      <c r="AB83" s="2" t="n">
        <v>0.315124251202468</v>
      </c>
    </row>
    <row r="84" customFormat="false" ht="15" hidden="false" customHeight="false" outlineLevel="0" collapsed="false">
      <c r="A84" s="2" t="s">
        <v>197</v>
      </c>
      <c r="B84" s="2" t="s">
        <v>44</v>
      </c>
      <c r="C84" s="2" t="n">
        <v>2009</v>
      </c>
      <c r="D84" s="2" t="s">
        <v>61</v>
      </c>
      <c r="E84" s="2" t="s">
        <v>31</v>
      </c>
      <c r="F84" s="2" t="n">
        <v>169</v>
      </c>
      <c r="G84" s="2" t="s">
        <v>198</v>
      </c>
      <c r="H84" s="2" t="n">
        <v>47.09</v>
      </c>
      <c r="I84" s="2" t="n">
        <v>0.0606</v>
      </c>
      <c r="J84" s="2" t="n">
        <v>33.91</v>
      </c>
      <c r="K84" s="2" t="n">
        <v>0.6193</v>
      </c>
      <c r="L84" s="2" t="n">
        <v>0.1418</v>
      </c>
      <c r="M84" s="2" t="n">
        <v>17.05</v>
      </c>
      <c r="N84" s="2" t="n">
        <v>1.87</v>
      </c>
      <c r="O84" s="2" t="n">
        <v>0.0376</v>
      </c>
      <c r="P84" s="2" t="n">
        <v>100.78</v>
      </c>
      <c r="Q84" s="2" t="n">
        <v>2.91347942503928</v>
      </c>
      <c r="R84" s="2" t="n">
        <v>2.15202783600605</v>
      </c>
      <c r="S84" s="2" t="n">
        <v>0.00208350314191256</v>
      </c>
      <c r="T84" s="2" t="n">
        <v>1.82642452740122</v>
      </c>
      <c r="U84" s="2" t="n">
        <v>0.0236694740283873</v>
      </c>
      <c r="V84" s="2" t="n">
        <v>0.00966064475219784</v>
      </c>
      <c r="W84" s="2" t="n">
        <v>0.834867669346161</v>
      </c>
      <c r="X84" s="2" t="n">
        <v>0.165693346288825</v>
      </c>
      <c r="Y84" s="2" t="n">
        <v>0.00219213866218633</v>
      </c>
      <c r="Z84" s="2" t="n">
        <v>83.2575460638983</v>
      </c>
      <c r="AA84" s="2" t="n">
        <v>16.5238419424329</v>
      </c>
      <c r="AB84" s="2" t="n">
        <v>0.21861199366885</v>
      </c>
    </row>
    <row r="85" customFormat="false" ht="15" hidden="false" customHeight="false" outlineLevel="0" collapsed="false">
      <c r="A85" s="2" t="s">
        <v>199</v>
      </c>
      <c r="B85" s="2" t="s">
        <v>44</v>
      </c>
      <c r="C85" s="2" t="n">
        <v>2009</v>
      </c>
      <c r="D85" s="2" t="s">
        <v>61</v>
      </c>
      <c r="E85" s="2" t="s">
        <v>31</v>
      </c>
      <c r="F85" s="2" t="n">
        <v>171</v>
      </c>
      <c r="G85" s="2" t="s">
        <v>200</v>
      </c>
      <c r="H85" s="2" t="n">
        <v>50.44</v>
      </c>
      <c r="I85" s="2" t="n">
        <v>0.1067</v>
      </c>
      <c r="J85" s="2" t="n">
        <v>31.4</v>
      </c>
      <c r="K85" s="2" t="n">
        <v>0.7702</v>
      </c>
      <c r="L85" s="2" t="n">
        <v>0.2283</v>
      </c>
      <c r="M85" s="2" t="n">
        <v>14.37</v>
      </c>
      <c r="N85" s="2" t="n">
        <v>3.4</v>
      </c>
      <c r="O85" s="2" t="n">
        <v>0.0721</v>
      </c>
      <c r="P85" s="2" t="n">
        <v>100.8</v>
      </c>
      <c r="Q85" s="2" t="n">
        <v>2.93379984384716</v>
      </c>
      <c r="R85" s="2" t="n">
        <v>2.28915787966119</v>
      </c>
      <c r="S85" s="2" t="n">
        <v>0.0036430692718414</v>
      </c>
      <c r="T85" s="2" t="n">
        <v>1.67951954951081</v>
      </c>
      <c r="U85" s="2" t="n">
        <v>0.0292329413980345</v>
      </c>
      <c r="V85" s="2" t="n">
        <v>0.0154460439842805</v>
      </c>
      <c r="W85" s="2" t="n">
        <v>0.698765576812897</v>
      </c>
      <c r="X85" s="2" t="n">
        <v>0.299174003912195</v>
      </c>
      <c r="Y85" s="2" t="n">
        <v>0.00417442743285666</v>
      </c>
      <c r="Z85" s="2" t="n">
        <v>69.7291496899982</v>
      </c>
      <c r="AA85" s="2" t="n">
        <v>29.8542881824521</v>
      </c>
      <c r="AB85" s="2" t="n">
        <v>0.416562127549733</v>
      </c>
    </row>
    <row r="86" customFormat="false" ht="15" hidden="false" customHeight="false" outlineLevel="0" collapsed="false">
      <c r="A86" s="2" t="s">
        <v>201</v>
      </c>
      <c r="B86" s="2" t="s">
        <v>44</v>
      </c>
      <c r="C86" s="2" t="n">
        <v>2009</v>
      </c>
      <c r="D86" s="2" t="s">
        <v>61</v>
      </c>
      <c r="E86" s="2" t="s">
        <v>31</v>
      </c>
      <c r="F86" s="2" t="n">
        <v>172</v>
      </c>
      <c r="G86" s="2" t="s">
        <v>202</v>
      </c>
      <c r="H86" s="2" t="n">
        <v>49.69</v>
      </c>
      <c r="I86" s="2" t="n">
        <v>0.1007</v>
      </c>
      <c r="J86" s="2" t="n">
        <v>31.87</v>
      </c>
      <c r="K86" s="2" t="n">
        <v>0.6522</v>
      </c>
      <c r="L86" s="2" t="n">
        <v>0.2115</v>
      </c>
      <c r="M86" s="2" t="n">
        <v>15.08</v>
      </c>
      <c r="N86" s="2" t="n">
        <v>3.13</v>
      </c>
      <c r="O86" s="2" t="n">
        <v>0.0646</v>
      </c>
      <c r="P86" s="2" t="n">
        <v>100.8</v>
      </c>
      <c r="Q86" s="2" t="n">
        <v>2.92867930469624</v>
      </c>
      <c r="R86" s="2" t="n">
        <v>2.25906292421857</v>
      </c>
      <c r="S86" s="2" t="n">
        <v>0.00344422205367311</v>
      </c>
      <c r="T86" s="2" t="n">
        <v>1.70763930151382</v>
      </c>
      <c r="U86" s="2" t="n">
        <v>0.0247975319765274</v>
      </c>
      <c r="V86" s="2" t="n">
        <v>0.0143344287481579</v>
      </c>
      <c r="W86" s="2" t="n">
        <v>0.734572623001999</v>
      </c>
      <c r="X86" s="2" t="n">
        <v>0.275897609170651</v>
      </c>
      <c r="Y86" s="2" t="n">
        <v>0.00374673374553771</v>
      </c>
      <c r="Z86" s="2" t="n">
        <v>72.4275621180304</v>
      </c>
      <c r="AA86" s="2" t="n">
        <v>27.2030165577911</v>
      </c>
      <c r="AB86" s="2" t="n">
        <v>0.369421324178473</v>
      </c>
    </row>
    <row r="87" customFormat="false" ht="15" hidden="false" customHeight="false" outlineLevel="0" collapsed="false">
      <c r="A87" s="2" t="s">
        <v>203</v>
      </c>
      <c r="B87" s="2" t="s">
        <v>44</v>
      </c>
      <c r="C87" s="2" t="n">
        <v>2009</v>
      </c>
      <c r="D87" s="2" t="s">
        <v>61</v>
      </c>
      <c r="E87" s="2" t="s">
        <v>31</v>
      </c>
      <c r="F87" s="2" t="n">
        <v>173</v>
      </c>
      <c r="G87" s="2" t="s">
        <v>204</v>
      </c>
      <c r="H87" s="2" t="n">
        <v>46.87</v>
      </c>
      <c r="I87" s="2" t="n">
        <v>0.0729</v>
      </c>
      <c r="J87" s="2" t="n">
        <v>34.2</v>
      </c>
      <c r="K87" s="2" t="n">
        <v>0.5851</v>
      </c>
      <c r="L87" s="2" t="n">
        <v>0.1569</v>
      </c>
      <c r="M87" s="2" t="n">
        <v>16.87</v>
      </c>
      <c r="N87" s="2" t="n">
        <v>1.96</v>
      </c>
      <c r="O87" s="2" t="n">
        <v>0.0285</v>
      </c>
      <c r="P87" s="2" t="n">
        <v>100.73</v>
      </c>
      <c r="Q87" s="2" t="n">
        <v>2.91304128380398</v>
      </c>
      <c r="R87" s="2" t="n">
        <v>2.14229593412647</v>
      </c>
      <c r="S87" s="2" t="n">
        <v>0.00250676937196341</v>
      </c>
      <c r="T87" s="2" t="n">
        <v>1.84232125643068</v>
      </c>
      <c r="U87" s="2" t="n">
        <v>0.022365722976357</v>
      </c>
      <c r="V87" s="2" t="n">
        <v>0.0106909953562229</v>
      </c>
      <c r="W87" s="2" t="n">
        <v>0.826178061234694</v>
      </c>
      <c r="X87" s="2" t="n">
        <v>0.173694013199896</v>
      </c>
      <c r="Y87" s="2" t="n">
        <v>0.00166184437980544</v>
      </c>
      <c r="Z87" s="2" t="n">
        <v>82.4912712105361</v>
      </c>
      <c r="AA87" s="2" t="n">
        <v>17.3427988745017</v>
      </c>
      <c r="AB87" s="2" t="n">
        <v>0.165929914962113</v>
      </c>
    </row>
    <row r="88" customFormat="false" ht="15" hidden="false" customHeight="false" outlineLevel="0" collapsed="false">
      <c r="A88" s="2" t="s">
        <v>205</v>
      </c>
      <c r="B88" s="2" t="s">
        <v>44</v>
      </c>
      <c r="C88" s="2" t="n">
        <v>2009</v>
      </c>
      <c r="D88" s="2" t="s">
        <v>61</v>
      </c>
      <c r="E88" s="2" t="s">
        <v>31</v>
      </c>
      <c r="F88" s="2" t="n">
        <v>174</v>
      </c>
      <c r="G88" s="2" t="s">
        <v>206</v>
      </c>
      <c r="H88" s="2" t="n">
        <v>47.47</v>
      </c>
      <c r="I88" s="2" t="n">
        <v>0.0668</v>
      </c>
      <c r="J88" s="2" t="n">
        <v>33.93</v>
      </c>
      <c r="K88" s="2" t="n">
        <v>0.596</v>
      </c>
      <c r="L88" s="2" t="n">
        <v>0.1675</v>
      </c>
      <c r="M88" s="2" t="n">
        <v>16.87</v>
      </c>
      <c r="N88" s="2" t="n">
        <v>2.09</v>
      </c>
      <c r="O88" s="2" t="n">
        <v>0.048</v>
      </c>
      <c r="P88" s="2" t="n">
        <v>101.24</v>
      </c>
      <c r="Q88" s="2" t="n">
        <v>2.92763557199709</v>
      </c>
      <c r="R88" s="2" t="n">
        <v>2.15890417348122</v>
      </c>
      <c r="S88" s="2" t="n">
        <v>0.00228556163837487</v>
      </c>
      <c r="T88" s="2" t="n">
        <v>1.81866513298236</v>
      </c>
      <c r="U88" s="2" t="n">
        <v>0.0226688102474461</v>
      </c>
      <c r="V88" s="2" t="n">
        <v>0.0113563725906448</v>
      </c>
      <c r="W88" s="2" t="n">
        <v>0.822059556582061</v>
      </c>
      <c r="X88" s="2" t="n">
        <v>0.18429123845599</v>
      </c>
      <c r="Y88" s="2" t="n">
        <v>0.00278494327824297</v>
      </c>
      <c r="Z88" s="2" t="n">
        <v>81.4617424959736</v>
      </c>
      <c r="AA88" s="2" t="n">
        <v>18.2622843943148</v>
      </c>
      <c r="AB88" s="2" t="n">
        <v>0.275973109711638</v>
      </c>
    </row>
    <row r="89" customFormat="false" ht="15" hidden="false" customHeight="false" outlineLevel="0" collapsed="false">
      <c r="A89" s="2" t="s">
        <v>207</v>
      </c>
      <c r="B89" s="2" t="s">
        <v>44</v>
      </c>
      <c r="C89" s="2" t="n">
        <v>2009</v>
      </c>
      <c r="D89" s="2" t="s">
        <v>61</v>
      </c>
      <c r="E89" s="2" t="s">
        <v>31</v>
      </c>
      <c r="F89" s="2" t="n">
        <v>175</v>
      </c>
      <c r="G89" s="2" t="s">
        <v>208</v>
      </c>
      <c r="H89" s="2" t="n">
        <v>51.84</v>
      </c>
      <c r="I89" s="2" t="n">
        <v>0.1744</v>
      </c>
      <c r="J89" s="2" t="n">
        <v>30.21</v>
      </c>
      <c r="K89" s="2" t="n">
        <v>1.066</v>
      </c>
      <c r="L89" s="2" t="n">
        <v>0.258</v>
      </c>
      <c r="M89" s="2" t="n">
        <v>13.46</v>
      </c>
      <c r="N89" s="2" t="n">
        <v>3.98</v>
      </c>
      <c r="O89" s="2" t="n">
        <v>0.1286</v>
      </c>
      <c r="P89" s="2" t="n">
        <v>101.12</v>
      </c>
      <c r="Q89" s="2" t="n">
        <v>2.94566753653345</v>
      </c>
      <c r="R89" s="2" t="n">
        <v>2.34321648420068</v>
      </c>
      <c r="S89" s="2" t="n">
        <v>0.00593056736050796</v>
      </c>
      <c r="T89" s="2" t="n">
        <v>1.6093588522065</v>
      </c>
      <c r="U89" s="2" t="n">
        <v>0.0402970226069638</v>
      </c>
      <c r="V89" s="2" t="n">
        <v>0.0173851248657733</v>
      </c>
      <c r="W89" s="2" t="n">
        <v>0.651878333478005</v>
      </c>
      <c r="X89" s="2" t="n">
        <v>0.348798622702876</v>
      </c>
      <c r="Y89" s="2" t="n">
        <v>0.00741565253139229</v>
      </c>
      <c r="Z89" s="2" t="n">
        <v>64.6645286201143</v>
      </c>
      <c r="AA89" s="2" t="n">
        <v>34.5998591486974</v>
      </c>
      <c r="AB89" s="2" t="n">
        <v>0.735612231188261</v>
      </c>
    </row>
    <row r="90" customFormat="false" ht="15" hidden="false" customHeight="false" outlineLevel="0" collapsed="false">
      <c r="A90" s="2" t="s">
        <v>209</v>
      </c>
      <c r="B90" s="2" t="s">
        <v>29</v>
      </c>
      <c r="C90" s="2" t="n">
        <v>2009</v>
      </c>
      <c r="D90" s="2" t="s">
        <v>210</v>
      </c>
      <c r="E90" s="2" t="s">
        <v>31</v>
      </c>
      <c r="F90" s="2" t="n">
        <v>11</v>
      </c>
      <c r="G90" s="2" t="s">
        <v>211</v>
      </c>
      <c r="H90" s="2" t="n">
        <v>47.73</v>
      </c>
      <c r="I90" s="2" t="n">
        <v>0.0637</v>
      </c>
      <c r="J90" s="2" t="n">
        <v>32.97</v>
      </c>
      <c r="K90" s="2" t="n">
        <v>0.6563</v>
      </c>
      <c r="L90" s="2" t="n">
        <v>0.1414</v>
      </c>
      <c r="M90" s="2" t="n">
        <v>15.38</v>
      </c>
      <c r="N90" s="2" t="n">
        <v>2.31</v>
      </c>
      <c r="O90" s="2" t="n">
        <v>0.043</v>
      </c>
      <c r="P90" s="2" t="n">
        <v>99.29</v>
      </c>
      <c r="Q90" s="2" t="n">
        <v>2.88508403704809</v>
      </c>
      <c r="R90" s="2" t="n">
        <v>2.20274445194459</v>
      </c>
      <c r="S90" s="2" t="n">
        <v>0.00221164009896957</v>
      </c>
      <c r="T90" s="2" t="n">
        <v>1.79327285973662</v>
      </c>
      <c r="U90" s="2" t="n">
        <v>0.0253304799806763</v>
      </c>
      <c r="V90" s="2" t="n">
        <v>0.0097282064479869</v>
      </c>
      <c r="W90" s="2" t="n">
        <v>0.760506767154199</v>
      </c>
      <c r="X90" s="2" t="n">
        <v>0.206694504453343</v>
      </c>
      <c r="Y90" s="2" t="n">
        <v>0.00253164099681347</v>
      </c>
      <c r="Z90" s="2" t="n">
        <v>78.4243534760256</v>
      </c>
      <c r="AA90" s="2" t="n">
        <v>21.3145807228751</v>
      </c>
      <c r="AB90" s="2" t="n">
        <v>0.261065801099232</v>
      </c>
    </row>
    <row r="91" customFormat="false" ht="15" hidden="false" customHeight="false" outlineLevel="0" collapsed="false">
      <c r="A91" s="2" t="s">
        <v>212</v>
      </c>
      <c r="B91" s="2" t="s">
        <v>29</v>
      </c>
      <c r="C91" s="2" t="n">
        <v>2009</v>
      </c>
      <c r="D91" s="2" t="s">
        <v>210</v>
      </c>
      <c r="E91" s="2" t="s">
        <v>31</v>
      </c>
      <c r="F91" s="2" t="n">
        <v>12</v>
      </c>
      <c r="G91" s="2" t="s">
        <v>213</v>
      </c>
      <c r="H91" s="2" t="n">
        <v>47.52</v>
      </c>
      <c r="I91" s="2" t="n">
        <v>0.0598</v>
      </c>
      <c r="J91" s="2" t="n">
        <v>33.07</v>
      </c>
      <c r="K91" s="2" t="n">
        <v>0.6489</v>
      </c>
      <c r="L91" s="2" t="n">
        <v>0.1501</v>
      </c>
      <c r="M91" s="2" t="n">
        <v>16.01</v>
      </c>
      <c r="N91" s="2" t="n">
        <v>2.18</v>
      </c>
      <c r="O91" s="2" t="n">
        <v>0.0405</v>
      </c>
      <c r="P91" s="2" t="n">
        <v>99.68</v>
      </c>
      <c r="Q91" s="2" t="n">
        <v>2.89016184569923</v>
      </c>
      <c r="R91" s="2" t="n">
        <v>2.18919989225295</v>
      </c>
      <c r="S91" s="2" t="n">
        <v>0.00207258576770816</v>
      </c>
      <c r="T91" s="2" t="n">
        <v>1.79555175566278</v>
      </c>
      <c r="U91" s="2" t="n">
        <v>0.0250008683695611</v>
      </c>
      <c r="V91" s="2" t="n">
        <v>0.0103086160800556</v>
      </c>
      <c r="W91" s="2" t="n">
        <v>0.79026797662041</v>
      </c>
      <c r="X91" s="2" t="n">
        <v>0.194719635535667</v>
      </c>
      <c r="Y91" s="2" t="n">
        <v>0.00238026325332349</v>
      </c>
      <c r="Z91" s="2" t="n">
        <v>80.0378457008979</v>
      </c>
      <c r="AA91" s="2" t="n">
        <v>19.7210827276438</v>
      </c>
      <c r="AB91" s="2" t="n">
        <v>0.241071571458261</v>
      </c>
    </row>
    <row r="92" customFormat="false" ht="15" hidden="false" customHeight="false" outlineLevel="0" collapsed="false">
      <c r="A92" s="2" t="s">
        <v>214</v>
      </c>
      <c r="B92" s="2" t="s">
        <v>29</v>
      </c>
      <c r="C92" s="2" t="n">
        <v>2009</v>
      </c>
      <c r="D92" s="2" t="s">
        <v>210</v>
      </c>
      <c r="E92" s="2" t="s">
        <v>31</v>
      </c>
      <c r="F92" s="2" t="n">
        <v>13</v>
      </c>
      <c r="G92" s="2" t="s">
        <v>215</v>
      </c>
      <c r="H92" s="2" t="n">
        <v>47.36</v>
      </c>
      <c r="I92" s="2" t="n">
        <v>0.0628</v>
      </c>
      <c r="J92" s="2" t="n">
        <v>33.19</v>
      </c>
      <c r="K92" s="2" t="n">
        <v>0.6493</v>
      </c>
      <c r="L92" s="2" t="n">
        <v>0.1446</v>
      </c>
      <c r="M92" s="2" t="n">
        <v>16.1</v>
      </c>
      <c r="N92" s="2" t="n">
        <v>2.13</v>
      </c>
      <c r="O92" s="2" t="n">
        <v>0.0382</v>
      </c>
      <c r="P92" s="2" t="n">
        <v>99.68</v>
      </c>
      <c r="Q92" s="2" t="n">
        <v>2.88908475564846</v>
      </c>
      <c r="R92" s="2" t="n">
        <v>2.18264226428394</v>
      </c>
      <c r="S92" s="2" t="n">
        <v>0.00217737309409545</v>
      </c>
      <c r="T92" s="2" t="n">
        <v>1.80273904924688</v>
      </c>
      <c r="U92" s="2" t="n">
        <v>0.0250256060088004</v>
      </c>
      <c r="V92" s="2" t="n">
        <v>0.00993458767994072</v>
      </c>
      <c r="W92" s="2" t="n">
        <v>0.795006736294615</v>
      </c>
      <c r="X92" s="2" t="n">
        <v>0.190324517971959</v>
      </c>
      <c r="Y92" s="2" t="n">
        <v>0.0022459248085468</v>
      </c>
      <c r="Z92" s="2" t="n">
        <v>80.5007196540477</v>
      </c>
      <c r="AA92" s="2" t="n">
        <v>19.2718626963616</v>
      </c>
      <c r="AB92" s="2" t="n">
        <v>0.227417649590702</v>
      </c>
    </row>
    <row r="93" customFormat="false" ht="15" hidden="false" customHeight="false" outlineLevel="0" collapsed="false">
      <c r="A93" s="2" t="s">
        <v>216</v>
      </c>
      <c r="B93" s="2" t="s">
        <v>29</v>
      </c>
      <c r="C93" s="2" t="n">
        <v>2009</v>
      </c>
      <c r="D93" s="2" t="s">
        <v>210</v>
      </c>
      <c r="E93" s="2" t="s">
        <v>31</v>
      </c>
      <c r="F93" s="2" t="n">
        <v>15</v>
      </c>
      <c r="G93" s="2" t="s">
        <v>217</v>
      </c>
      <c r="H93" s="2" t="n">
        <v>51.3</v>
      </c>
      <c r="I93" s="2" t="n">
        <v>0.1394</v>
      </c>
      <c r="J93" s="2" t="n">
        <v>30.43</v>
      </c>
      <c r="K93" s="2" t="n">
        <v>0.9329</v>
      </c>
      <c r="L93" s="2" t="n">
        <v>0.2395</v>
      </c>
      <c r="M93" s="2" t="n">
        <v>13.19</v>
      </c>
      <c r="N93" s="2" t="n">
        <v>3.77</v>
      </c>
      <c r="O93" s="2" t="n">
        <v>0.1001</v>
      </c>
      <c r="P93" s="2" t="n">
        <v>100.11</v>
      </c>
      <c r="Q93" s="2" t="n">
        <v>2.92247203238383</v>
      </c>
      <c r="R93" s="2" t="n">
        <v>2.33721223401606</v>
      </c>
      <c r="S93" s="2" t="n">
        <v>0.0047779973114196</v>
      </c>
      <c r="T93" s="2" t="n">
        <v>1.63394519316444</v>
      </c>
      <c r="U93" s="2" t="n">
        <v>0.0355454659970538</v>
      </c>
      <c r="V93" s="2" t="n">
        <v>0.0162666076215184</v>
      </c>
      <c r="W93" s="2" t="n">
        <v>0.64387215965235</v>
      </c>
      <c r="X93" s="2" t="n">
        <v>0.333017000133197</v>
      </c>
      <c r="Y93" s="2" t="n">
        <v>0.00581802852170815</v>
      </c>
      <c r="Z93" s="2" t="n">
        <v>65.5202452280257</v>
      </c>
      <c r="AA93" s="2" t="n">
        <v>33.8877138679356</v>
      </c>
      <c r="AB93" s="2" t="n">
        <v>0.59204090403876</v>
      </c>
    </row>
    <row r="94" customFormat="false" ht="15" hidden="false" customHeight="false" outlineLevel="0" collapsed="false">
      <c r="A94" s="2" t="s">
        <v>218</v>
      </c>
      <c r="B94" s="2" t="s">
        <v>29</v>
      </c>
      <c r="C94" s="2" t="n">
        <v>2009</v>
      </c>
      <c r="D94" s="2" t="s">
        <v>210</v>
      </c>
      <c r="E94" s="2" t="s">
        <v>31</v>
      </c>
      <c r="F94" s="2" t="n">
        <v>18</v>
      </c>
      <c r="G94" s="2" t="s">
        <v>219</v>
      </c>
      <c r="H94" s="2" t="n">
        <v>45.65</v>
      </c>
      <c r="I94" s="2" t="n">
        <v>0.062</v>
      </c>
      <c r="J94" s="2" t="n">
        <v>32.86</v>
      </c>
      <c r="K94" s="2" t="n">
        <v>0.542</v>
      </c>
      <c r="L94" s="2" t="n">
        <v>0.1492</v>
      </c>
      <c r="M94" s="2" t="n">
        <v>15.78</v>
      </c>
      <c r="N94" s="2" t="n">
        <v>1.91</v>
      </c>
      <c r="O94" s="2" t="n">
        <v>0.0341</v>
      </c>
      <c r="P94" s="2" t="n">
        <v>96.98</v>
      </c>
      <c r="Q94" s="2" t="n">
        <v>2.81175587883695</v>
      </c>
      <c r="R94" s="2" t="n">
        <v>2.16169450992157</v>
      </c>
      <c r="S94" s="2" t="n">
        <v>0.00220875511706287</v>
      </c>
      <c r="T94" s="2" t="n">
        <v>1.8339008157009</v>
      </c>
      <c r="U94" s="2" t="n">
        <v>0.0214645188373938</v>
      </c>
      <c r="V94" s="2" t="n">
        <v>0.0105325383263386</v>
      </c>
      <c r="W94" s="2" t="n">
        <v>0.800635056737736</v>
      </c>
      <c r="X94" s="2" t="n">
        <v>0.175360256975839</v>
      </c>
      <c r="Y94" s="2" t="n">
        <v>0.00206000796397525</v>
      </c>
      <c r="Z94" s="2" t="n">
        <v>81.8598947311585</v>
      </c>
      <c r="AA94" s="2" t="n">
        <v>17.9294824218188</v>
      </c>
      <c r="AB94" s="2" t="n">
        <v>0.210622847022799</v>
      </c>
    </row>
    <row r="95" customFormat="false" ht="15" hidden="false" customHeight="false" outlineLevel="0" collapsed="false">
      <c r="A95" s="2" t="s">
        <v>220</v>
      </c>
      <c r="B95" s="2" t="s">
        <v>29</v>
      </c>
      <c r="C95" s="2" t="n">
        <v>2009</v>
      </c>
      <c r="D95" s="2" t="s">
        <v>210</v>
      </c>
      <c r="E95" s="2" t="s">
        <v>31</v>
      </c>
      <c r="F95" s="2" t="n">
        <v>25</v>
      </c>
      <c r="G95" s="2" t="s">
        <v>221</v>
      </c>
      <c r="H95" s="2" t="n">
        <v>48.64</v>
      </c>
      <c r="I95" s="2" t="n">
        <v>0.0701</v>
      </c>
      <c r="J95" s="2" t="n">
        <v>32.65</v>
      </c>
      <c r="K95" s="2" t="n">
        <v>0.5838</v>
      </c>
      <c r="L95" s="2" t="n">
        <v>0.1706</v>
      </c>
      <c r="M95" s="2" t="n">
        <v>15.65</v>
      </c>
      <c r="N95" s="2" t="n">
        <v>2.57</v>
      </c>
      <c r="O95" s="2" t="n">
        <v>0.054</v>
      </c>
      <c r="P95" s="2" t="n">
        <v>100.39</v>
      </c>
      <c r="Q95" s="2" t="n">
        <v>2.91496178829131</v>
      </c>
      <c r="R95" s="2" t="n">
        <v>2.22173291813385</v>
      </c>
      <c r="S95" s="2" t="n">
        <v>0.00240889928609641</v>
      </c>
      <c r="T95" s="2" t="n">
        <v>1.75766544998528</v>
      </c>
      <c r="U95" s="2" t="n">
        <v>0.0223013270864833</v>
      </c>
      <c r="V95" s="2" t="n">
        <v>0.0116168397274812</v>
      </c>
      <c r="W95" s="2" t="n">
        <v>0.765925786277107</v>
      </c>
      <c r="X95" s="2" t="n">
        <v>0.227601790949491</v>
      </c>
      <c r="Y95" s="2" t="n">
        <v>0.00314668323274224</v>
      </c>
      <c r="Z95" s="2" t="n">
        <v>76.8481555773411</v>
      </c>
      <c r="AA95" s="2" t="n">
        <v>22.8361261024836</v>
      </c>
      <c r="AB95" s="2" t="n">
        <v>0.315718320175342</v>
      </c>
    </row>
    <row r="96" customFormat="false" ht="15" hidden="false" customHeight="false" outlineLevel="0" collapsed="false">
      <c r="A96" s="2" t="s">
        <v>222</v>
      </c>
      <c r="B96" s="2" t="s">
        <v>29</v>
      </c>
      <c r="C96" s="2" t="n">
        <v>2009</v>
      </c>
      <c r="D96" s="2" t="s">
        <v>210</v>
      </c>
      <c r="E96" s="2" t="s">
        <v>31</v>
      </c>
      <c r="F96" s="2" t="n">
        <v>26</v>
      </c>
      <c r="G96" s="2" t="s">
        <v>223</v>
      </c>
      <c r="H96" s="2" t="n">
        <v>47.79</v>
      </c>
      <c r="I96" s="2" t="n">
        <v>0.066</v>
      </c>
      <c r="J96" s="2" t="n">
        <v>33.3</v>
      </c>
      <c r="K96" s="2" t="n">
        <v>0.6879</v>
      </c>
      <c r="L96" s="2" t="n">
        <v>0.1733</v>
      </c>
      <c r="M96" s="2" t="n">
        <v>15.99</v>
      </c>
      <c r="N96" s="2" t="n">
        <v>2.25</v>
      </c>
      <c r="O96" s="2" t="n">
        <v>0.0555</v>
      </c>
      <c r="P96" s="2" t="n">
        <v>100.31</v>
      </c>
      <c r="Q96" s="2" t="n">
        <v>2.90812229323333</v>
      </c>
      <c r="R96" s="2" t="n">
        <v>2.18804129608491</v>
      </c>
      <c r="S96" s="2" t="n">
        <v>0.00227334192295957</v>
      </c>
      <c r="T96" s="2" t="n">
        <v>1.79687333634388</v>
      </c>
      <c r="U96" s="2" t="n">
        <v>0.0263397789901314</v>
      </c>
      <c r="V96" s="2" t="n">
        <v>0.0118284471535094</v>
      </c>
      <c r="W96" s="2" t="n">
        <v>0.784406192110274</v>
      </c>
      <c r="X96" s="2" t="n">
        <v>0.199730905200844</v>
      </c>
      <c r="Y96" s="2" t="n">
        <v>0.00324169722821378</v>
      </c>
      <c r="Z96" s="2" t="n">
        <v>79.4432892875975</v>
      </c>
      <c r="AA96" s="2" t="n">
        <v>20.2283972782735</v>
      </c>
      <c r="AB96" s="2" t="n">
        <v>0.328313434129018</v>
      </c>
    </row>
    <row r="97" customFormat="false" ht="15" hidden="false" customHeight="false" outlineLevel="0" collapsed="false">
      <c r="A97" s="2" t="s">
        <v>224</v>
      </c>
      <c r="B97" s="2" t="s">
        <v>29</v>
      </c>
      <c r="C97" s="2" t="n">
        <v>2009</v>
      </c>
      <c r="D97" s="2" t="s">
        <v>210</v>
      </c>
      <c r="E97" s="2" t="s">
        <v>31</v>
      </c>
      <c r="F97" s="2" t="n">
        <v>27</v>
      </c>
      <c r="G97" s="2" t="s">
        <v>225</v>
      </c>
      <c r="H97" s="2" t="n">
        <v>48.27</v>
      </c>
      <c r="I97" s="2" t="n">
        <v>0.0728</v>
      </c>
      <c r="J97" s="2" t="n">
        <v>32.74</v>
      </c>
      <c r="K97" s="2" t="n">
        <v>0.7103</v>
      </c>
      <c r="L97" s="2" t="n">
        <v>0.1725</v>
      </c>
      <c r="M97" s="2" t="n">
        <v>15.71</v>
      </c>
      <c r="N97" s="2" t="n">
        <v>2.44</v>
      </c>
      <c r="O97" s="2" t="n">
        <v>0.0498</v>
      </c>
      <c r="P97" s="2" t="n">
        <v>100.17</v>
      </c>
      <c r="Q97" s="2" t="n">
        <v>2.90609716844558</v>
      </c>
      <c r="R97" s="2" t="n">
        <v>2.21155791578779</v>
      </c>
      <c r="S97" s="2" t="n">
        <v>0.00250931243633557</v>
      </c>
      <c r="T97" s="2" t="n">
        <v>1.7678867472633</v>
      </c>
      <c r="U97" s="2" t="n">
        <v>0.0272164305205074</v>
      </c>
      <c r="V97" s="2" t="n">
        <v>0.0117820484673861</v>
      </c>
      <c r="W97" s="2" t="n">
        <v>0.771207543588012</v>
      </c>
      <c r="X97" s="2" t="n">
        <v>0.21674800701557</v>
      </c>
      <c r="Y97" s="2" t="n">
        <v>0.00291079314621802</v>
      </c>
      <c r="Z97" s="2" t="n">
        <v>77.8316418205791</v>
      </c>
      <c r="AA97" s="2" t="n">
        <v>21.8745957396551</v>
      </c>
      <c r="AB97" s="2" t="n">
        <v>0.293762439765843</v>
      </c>
    </row>
    <row r="98" customFormat="false" ht="15" hidden="false" customHeight="false" outlineLevel="0" collapsed="false">
      <c r="A98" s="2" t="s">
        <v>226</v>
      </c>
      <c r="B98" s="2" t="s">
        <v>29</v>
      </c>
      <c r="C98" s="2" t="n">
        <v>2009</v>
      </c>
      <c r="D98" s="2" t="s">
        <v>210</v>
      </c>
      <c r="E98" s="2" t="s">
        <v>31</v>
      </c>
      <c r="F98" s="2" t="n">
        <v>28</v>
      </c>
      <c r="G98" s="2" t="s">
        <v>227</v>
      </c>
      <c r="H98" s="2" t="n">
        <v>48.41</v>
      </c>
      <c r="I98" s="2" t="n">
        <v>0.0587</v>
      </c>
      <c r="J98" s="2" t="n">
        <v>32.96</v>
      </c>
      <c r="K98" s="2" t="n">
        <v>0.6118</v>
      </c>
      <c r="L98" s="2" t="n">
        <v>0.1763</v>
      </c>
      <c r="M98" s="2" t="n">
        <v>15.88</v>
      </c>
      <c r="N98" s="2" t="n">
        <v>2.4</v>
      </c>
      <c r="O98" s="2" t="n">
        <v>0.047</v>
      </c>
      <c r="P98" s="2" t="n">
        <v>100.53</v>
      </c>
      <c r="Q98" s="2" t="n">
        <v>2.91795697608134</v>
      </c>
      <c r="R98" s="2" t="n">
        <v>2.20895743824479</v>
      </c>
      <c r="S98" s="2" t="n">
        <v>0.00201508192793648</v>
      </c>
      <c r="T98" s="2" t="n">
        <v>1.77253253445633</v>
      </c>
      <c r="U98" s="2" t="n">
        <v>0.023346945596599</v>
      </c>
      <c r="V98" s="2" t="n">
        <v>0.0119926529221994</v>
      </c>
      <c r="W98" s="2" t="n">
        <v>0.776384451366409</v>
      </c>
      <c r="X98" s="2" t="n">
        <v>0.212328247587269</v>
      </c>
      <c r="Y98" s="2" t="n">
        <v>0.00273596858241296</v>
      </c>
      <c r="Z98" s="2" t="n">
        <v>78.3080835940654</v>
      </c>
      <c r="AA98" s="2" t="n">
        <v>21.4159597505878</v>
      </c>
      <c r="AB98" s="2" t="n">
        <v>0.275956655346795</v>
      </c>
    </row>
    <row r="99" customFormat="false" ht="15" hidden="false" customHeight="false" outlineLevel="0" collapsed="false">
      <c r="A99" s="2" t="s">
        <v>228</v>
      </c>
      <c r="B99" s="2" t="s">
        <v>29</v>
      </c>
      <c r="C99" s="2" t="n">
        <v>2009</v>
      </c>
      <c r="D99" s="2" t="s">
        <v>210</v>
      </c>
      <c r="E99" s="2" t="s">
        <v>31</v>
      </c>
      <c r="F99" s="2" t="n">
        <v>29</v>
      </c>
      <c r="G99" s="2" t="s">
        <v>229</v>
      </c>
      <c r="H99" s="2" t="n">
        <v>52.29</v>
      </c>
      <c r="I99" s="2" t="n">
        <v>0.1313</v>
      </c>
      <c r="J99" s="2" t="n">
        <v>29.9</v>
      </c>
      <c r="K99" s="2" t="n">
        <v>0.811</v>
      </c>
      <c r="L99" s="2" t="n">
        <v>0.1782</v>
      </c>
      <c r="M99" s="2" t="n">
        <v>12.6</v>
      </c>
      <c r="N99" s="2" t="n">
        <v>4.18</v>
      </c>
      <c r="O99" s="2" t="n">
        <v>0.122</v>
      </c>
      <c r="P99" s="2" t="n">
        <v>100.21</v>
      </c>
      <c r="Q99" s="2" t="n">
        <v>2.93273757692392</v>
      </c>
      <c r="R99" s="2" t="n">
        <v>2.37397744032663</v>
      </c>
      <c r="S99" s="2" t="n">
        <v>0.00448461343129221</v>
      </c>
      <c r="T99" s="2" t="n">
        <v>1.59986700192852</v>
      </c>
      <c r="U99" s="2" t="n">
        <v>0.0307926547886751</v>
      </c>
      <c r="V99" s="2" t="n">
        <v>0.0120608060256115</v>
      </c>
      <c r="W99" s="2" t="n">
        <v>0.612918255146958</v>
      </c>
      <c r="X99" s="2" t="n">
        <v>0.367941263859729</v>
      </c>
      <c r="Y99" s="2" t="n">
        <v>0.00706608340053245</v>
      </c>
      <c r="Z99" s="2" t="n">
        <v>62.0409323995144</v>
      </c>
      <c r="AA99" s="2" t="n">
        <v>37.2438231141281</v>
      </c>
      <c r="AB99" s="2" t="n">
        <v>0.71524448635757</v>
      </c>
    </row>
    <row r="100" customFormat="false" ht="15" hidden="false" customHeight="false" outlineLevel="0" collapsed="false">
      <c r="A100" s="2" t="s">
        <v>230</v>
      </c>
      <c r="B100" s="2" t="s">
        <v>29</v>
      </c>
      <c r="C100" s="2" t="n">
        <v>2009</v>
      </c>
      <c r="D100" s="2" t="s">
        <v>210</v>
      </c>
      <c r="E100" s="2" t="s">
        <v>31</v>
      </c>
      <c r="F100" s="2" t="n">
        <v>30</v>
      </c>
      <c r="G100" s="2" t="s">
        <v>231</v>
      </c>
      <c r="H100" s="2" t="n">
        <v>47.66</v>
      </c>
      <c r="I100" s="2" t="n">
        <v>0.0701</v>
      </c>
      <c r="J100" s="2" t="n">
        <v>33.22</v>
      </c>
      <c r="K100" s="2" t="n">
        <v>0.6113</v>
      </c>
      <c r="L100" s="2" t="n">
        <v>0.1609</v>
      </c>
      <c r="M100" s="2" t="n">
        <v>15.85</v>
      </c>
      <c r="N100" s="2" t="n">
        <v>2.3</v>
      </c>
      <c r="O100" s="2" t="n">
        <v>0.0475</v>
      </c>
      <c r="P100" s="2" t="n">
        <v>99.93</v>
      </c>
      <c r="Q100" s="2" t="n">
        <v>2.89839521685488</v>
      </c>
      <c r="R100" s="2" t="n">
        <v>2.18941244940127</v>
      </c>
      <c r="S100" s="2" t="n">
        <v>0.00242266800951764</v>
      </c>
      <c r="T100" s="2" t="n">
        <v>1.7985723815806</v>
      </c>
      <c r="U100" s="2" t="n">
        <v>0.0234853087635016</v>
      </c>
      <c r="V100" s="2" t="n">
        <v>0.0110189516292943</v>
      </c>
      <c r="W100" s="2" t="n">
        <v>0.780147780853445</v>
      </c>
      <c r="X100" s="2" t="n">
        <v>0.204854566535359</v>
      </c>
      <c r="Y100" s="2" t="n">
        <v>0.00278373658722083</v>
      </c>
      <c r="Z100" s="2" t="n">
        <v>78.979426164135</v>
      </c>
      <c r="AA100" s="2" t="n">
        <v>20.738758103453</v>
      </c>
      <c r="AB100" s="2" t="n">
        <v>0.281815732411999</v>
      </c>
    </row>
    <row r="101" customFormat="false" ht="15" hidden="false" customHeight="false" outlineLevel="0" collapsed="false">
      <c r="A101" s="2" t="s">
        <v>232</v>
      </c>
      <c r="B101" s="2" t="s">
        <v>29</v>
      </c>
      <c r="C101" s="2" t="n">
        <v>2009</v>
      </c>
      <c r="D101" s="2" t="s">
        <v>210</v>
      </c>
      <c r="E101" s="2" t="s">
        <v>31</v>
      </c>
      <c r="F101" s="2" t="n">
        <v>31</v>
      </c>
      <c r="G101" s="2" t="s">
        <v>233</v>
      </c>
      <c r="H101" s="2" t="n">
        <v>46.99</v>
      </c>
      <c r="I101" s="2" t="n">
        <v>0.0578</v>
      </c>
      <c r="J101" s="2" t="n">
        <v>33.9</v>
      </c>
      <c r="K101" s="2" t="n">
        <v>0.6109</v>
      </c>
      <c r="L101" s="2" t="n">
        <v>0.1491</v>
      </c>
      <c r="M101" s="2" t="n">
        <v>16.82</v>
      </c>
      <c r="N101" s="2" t="n">
        <v>1.86</v>
      </c>
      <c r="O101" s="2" t="n">
        <v>0.028</v>
      </c>
      <c r="P101" s="2" t="n">
        <v>100.41</v>
      </c>
      <c r="Q101" s="2" t="n">
        <v>2.9054858423459</v>
      </c>
      <c r="R101" s="2" t="n">
        <v>2.15336589783565</v>
      </c>
      <c r="S101" s="2" t="n">
        <v>0.00199270295965398</v>
      </c>
      <c r="T101" s="2" t="n">
        <v>1.83090930163532</v>
      </c>
      <c r="U101" s="2" t="n">
        <v>0.0234126646377783</v>
      </c>
      <c r="V101" s="2" t="n">
        <v>0.0101859306902615</v>
      </c>
      <c r="W101" s="2" t="n">
        <v>0.825871431200014</v>
      </c>
      <c r="X101" s="2" t="n">
        <v>0.165260703987383</v>
      </c>
      <c r="Y101" s="2" t="n">
        <v>0.0016369348693151</v>
      </c>
      <c r="Z101" s="2" t="n">
        <v>83.1886745980952</v>
      </c>
      <c r="AA101" s="2" t="n">
        <v>16.6464396375627</v>
      </c>
      <c r="AB101" s="2" t="n">
        <v>0.164885764342113</v>
      </c>
    </row>
    <row r="102" customFormat="false" ht="15" hidden="false" customHeight="false" outlineLevel="0" collapsed="false">
      <c r="A102" s="2" t="s">
        <v>234</v>
      </c>
      <c r="B102" s="2" t="s">
        <v>29</v>
      </c>
      <c r="C102" s="2" t="n">
        <v>2009</v>
      </c>
      <c r="D102" s="2" t="s">
        <v>210</v>
      </c>
      <c r="E102" s="2" t="s">
        <v>31</v>
      </c>
      <c r="F102" s="2" t="n">
        <v>32</v>
      </c>
      <c r="G102" s="2" t="s">
        <v>235</v>
      </c>
      <c r="H102" s="2" t="n">
        <v>51.69</v>
      </c>
      <c r="I102" s="2" t="n">
        <v>0.1383</v>
      </c>
      <c r="J102" s="2" t="n">
        <v>30.55</v>
      </c>
      <c r="K102" s="2" t="n">
        <v>0.9136</v>
      </c>
      <c r="L102" s="2" t="n">
        <v>0.1642</v>
      </c>
      <c r="M102" s="2" t="n">
        <v>13.43</v>
      </c>
      <c r="N102" s="2" t="n">
        <v>3.87</v>
      </c>
      <c r="O102" s="2" t="n">
        <v>0.1058</v>
      </c>
      <c r="P102" s="2" t="n">
        <v>100.86</v>
      </c>
      <c r="Q102" s="2" t="n">
        <v>2.94277392659164</v>
      </c>
      <c r="R102" s="2" t="n">
        <v>2.33873374615835</v>
      </c>
      <c r="S102" s="2" t="n">
        <v>0.00470759151747086</v>
      </c>
      <c r="T102" s="2" t="n">
        <v>1.62907174606514</v>
      </c>
      <c r="U102" s="2" t="n">
        <v>0.0345699438565747</v>
      </c>
      <c r="V102" s="2" t="n">
        <v>0.0110753660811831</v>
      </c>
      <c r="W102" s="2" t="n">
        <v>0.651064968960978</v>
      </c>
      <c r="X102" s="2" t="n">
        <v>0.339491952011473</v>
      </c>
      <c r="Y102" s="2" t="n">
        <v>0.00610690129236132</v>
      </c>
      <c r="Z102" s="2" t="n">
        <v>65.3244308077223</v>
      </c>
      <c r="AA102" s="2" t="n">
        <v>34.0628348724462</v>
      </c>
      <c r="AB102" s="2" t="n">
        <v>0.612734319831539</v>
      </c>
    </row>
    <row r="103" customFormat="false" ht="15" hidden="false" customHeight="false" outlineLevel="0" collapsed="false">
      <c r="A103" s="2" t="s">
        <v>236</v>
      </c>
      <c r="B103" s="2" t="s">
        <v>29</v>
      </c>
      <c r="C103" s="2" t="n">
        <v>2009</v>
      </c>
      <c r="D103" s="2" t="s">
        <v>210</v>
      </c>
      <c r="E103" s="2" t="s">
        <v>31</v>
      </c>
      <c r="F103" s="2" t="n">
        <v>33</v>
      </c>
      <c r="G103" s="2" t="s">
        <v>237</v>
      </c>
      <c r="H103" s="2" t="n">
        <v>48.53</v>
      </c>
      <c r="I103" s="2" t="n">
        <v>0.0642</v>
      </c>
      <c r="J103" s="2" t="n">
        <v>32.76</v>
      </c>
      <c r="K103" s="2" t="n">
        <v>0.5847</v>
      </c>
      <c r="L103" s="2" t="n">
        <v>0.1646</v>
      </c>
      <c r="M103" s="2" t="n">
        <v>15.65</v>
      </c>
      <c r="N103" s="2" t="n">
        <v>2.53</v>
      </c>
      <c r="O103" s="2" t="n">
        <v>0.0562</v>
      </c>
      <c r="P103" s="2" t="n">
        <v>100.34</v>
      </c>
      <c r="Q103" s="2" t="n">
        <v>2.91363066453061</v>
      </c>
      <c r="R103" s="2" t="n">
        <v>2.21772116719203</v>
      </c>
      <c r="S103" s="2" t="n">
        <v>0.00220716103147277</v>
      </c>
      <c r="T103" s="2" t="n">
        <v>1.76439285453566</v>
      </c>
      <c r="U103" s="2" t="n">
        <v>0.0223459116541473</v>
      </c>
      <c r="V103" s="2" t="n">
        <v>0.0112133962326943</v>
      </c>
      <c r="W103" s="2" t="n">
        <v>0.76627570777727</v>
      </c>
      <c r="X103" s="2" t="n">
        <v>0.224161714567169</v>
      </c>
      <c r="Y103" s="2" t="n">
        <v>0.00327637760361436</v>
      </c>
      <c r="Z103" s="2" t="n">
        <v>77.112314211328</v>
      </c>
      <c r="AA103" s="2" t="n">
        <v>22.5579754028662</v>
      </c>
      <c r="AB103" s="2" t="n">
        <v>0.329710385805816</v>
      </c>
    </row>
    <row r="104" customFormat="false" ht="15" hidden="false" customHeight="false" outlineLevel="0" collapsed="false">
      <c r="A104" s="2" t="s">
        <v>238</v>
      </c>
      <c r="B104" s="2" t="s">
        <v>29</v>
      </c>
      <c r="C104" s="2" t="n">
        <v>2009</v>
      </c>
      <c r="D104" s="2" t="s">
        <v>210</v>
      </c>
      <c r="E104" s="2" t="s">
        <v>31</v>
      </c>
      <c r="F104" s="2" t="n">
        <v>34</v>
      </c>
      <c r="G104" s="2" t="s">
        <v>239</v>
      </c>
      <c r="H104" s="2" t="n">
        <v>48.19</v>
      </c>
      <c r="I104" s="2" t="n">
        <v>0.068</v>
      </c>
      <c r="J104" s="2" t="n">
        <v>33.21</v>
      </c>
      <c r="K104" s="2" t="n">
        <v>0.5706</v>
      </c>
      <c r="L104" s="2" t="n">
        <v>0.1726</v>
      </c>
      <c r="M104" s="2" t="n">
        <v>15.94</v>
      </c>
      <c r="N104" s="2" t="n">
        <v>2.31</v>
      </c>
      <c r="O104" s="2" t="n">
        <v>0.0472</v>
      </c>
      <c r="P104" s="2" t="n">
        <v>100.5</v>
      </c>
      <c r="Q104" s="2" t="n">
        <v>2.9171772505971</v>
      </c>
      <c r="R104" s="2" t="n">
        <v>2.19950654057796</v>
      </c>
      <c r="S104" s="2" t="n">
        <v>0.00233496075543589</v>
      </c>
      <c r="T104" s="2" t="n">
        <v>1.78645447732876</v>
      </c>
      <c r="U104" s="2" t="n">
        <v>0.0217805294236748</v>
      </c>
      <c r="V104" s="2" t="n">
        <v>0.0117441018810337</v>
      </c>
      <c r="W104" s="2" t="n">
        <v>0.779526195934956</v>
      </c>
      <c r="X104" s="2" t="n">
        <v>0.204420562796398</v>
      </c>
      <c r="Y104" s="2" t="n">
        <v>0.00274834540443082</v>
      </c>
      <c r="Z104" s="2" t="n">
        <v>79.0037563445416</v>
      </c>
      <c r="AA104" s="2" t="n">
        <v>20.7177031627661</v>
      </c>
      <c r="AB104" s="2" t="n">
        <v>0.278540492692321</v>
      </c>
    </row>
    <row r="105" customFormat="false" ht="15" hidden="false" customHeight="false" outlineLevel="0" collapsed="false">
      <c r="A105" s="2" t="s">
        <v>240</v>
      </c>
      <c r="B105" s="2" t="s">
        <v>29</v>
      </c>
      <c r="C105" s="2" t="n">
        <v>2009</v>
      </c>
      <c r="D105" s="2" t="s">
        <v>210</v>
      </c>
      <c r="E105" s="2" t="s">
        <v>31</v>
      </c>
      <c r="F105" s="2" t="n">
        <v>35</v>
      </c>
      <c r="G105" s="2" t="s">
        <v>241</v>
      </c>
      <c r="H105" s="2" t="n">
        <v>47.58</v>
      </c>
      <c r="I105" s="2" t="n">
        <v>0.0538</v>
      </c>
      <c r="J105" s="2" t="n">
        <v>33.62</v>
      </c>
      <c r="K105" s="2" t="n">
        <v>0.5763</v>
      </c>
      <c r="L105" s="2" t="n">
        <v>0.1682</v>
      </c>
      <c r="M105" s="2" t="n">
        <v>16.54</v>
      </c>
      <c r="N105" s="2" t="n">
        <v>2</v>
      </c>
      <c r="O105" s="2" t="n">
        <v>0.0311</v>
      </c>
      <c r="P105" s="2" t="n">
        <v>100.57</v>
      </c>
      <c r="Q105" s="2" t="n">
        <v>2.9140773059932</v>
      </c>
      <c r="R105" s="2" t="n">
        <v>2.1739748646432</v>
      </c>
      <c r="S105" s="2" t="n">
        <v>0.00184933120518254</v>
      </c>
      <c r="T105" s="2" t="n">
        <v>1.81043333170285</v>
      </c>
      <c r="U105" s="2" t="n">
        <v>0.0220215068913529</v>
      </c>
      <c r="V105" s="2" t="n">
        <v>0.0114568904270205</v>
      </c>
      <c r="W105" s="2" t="n">
        <v>0.809728921938879</v>
      </c>
      <c r="X105" s="2" t="n">
        <v>0.17717577647196</v>
      </c>
      <c r="Y105" s="2" t="n">
        <v>0.00181280651145825</v>
      </c>
      <c r="Z105" s="2" t="n">
        <v>81.8968934915858</v>
      </c>
      <c r="AA105" s="2" t="n">
        <v>17.9197572198223</v>
      </c>
      <c r="AB105" s="2" t="n">
        <v>0.183349288591863</v>
      </c>
    </row>
    <row r="106" customFormat="false" ht="15" hidden="false" customHeight="false" outlineLevel="0" collapsed="false">
      <c r="A106" s="2" t="s">
        <v>242</v>
      </c>
      <c r="B106" s="2" t="s">
        <v>44</v>
      </c>
      <c r="C106" s="2" t="n">
        <v>2009</v>
      </c>
      <c r="D106" s="2" t="s">
        <v>210</v>
      </c>
      <c r="E106" s="2" t="s">
        <v>31</v>
      </c>
      <c r="F106" s="2" t="n">
        <v>36</v>
      </c>
      <c r="G106" s="2" t="s">
        <v>243</v>
      </c>
      <c r="H106" s="2" t="n">
        <v>47.59</v>
      </c>
      <c r="I106" s="2" t="n">
        <v>0.0703</v>
      </c>
      <c r="J106" s="2" t="n">
        <v>33.71</v>
      </c>
      <c r="K106" s="2" t="n">
        <v>0.6005</v>
      </c>
      <c r="L106" s="2" t="n">
        <v>0.1546</v>
      </c>
      <c r="M106" s="2" t="n">
        <v>16.54</v>
      </c>
      <c r="N106" s="2" t="n">
        <v>2.06</v>
      </c>
      <c r="O106" s="2" t="n">
        <v>0.0345</v>
      </c>
      <c r="P106" s="2" t="n">
        <v>100.76</v>
      </c>
      <c r="Q106" s="2" t="n">
        <v>2.91847501251118</v>
      </c>
      <c r="R106" s="2" t="n">
        <v>2.17115522968983</v>
      </c>
      <c r="S106" s="2" t="n">
        <v>0.00241286396069004</v>
      </c>
      <c r="T106" s="2" t="n">
        <v>1.81254446596228</v>
      </c>
      <c r="U106" s="2" t="n">
        <v>0.0229116578535967</v>
      </c>
      <c r="V106" s="2" t="n">
        <v>0.0105146627388924</v>
      </c>
      <c r="W106" s="2" t="n">
        <v>0.808508781234387</v>
      </c>
      <c r="X106" s="2" t="n">
        <v>0.182216062974871</v>
      </c>
      <c r="Y106" s="2" t="n">
        <v>0.00200796088245786</v>
      </c>
      <c r="Z106" s="2" t="n">
        <v>81.4427383770894</v>
      </c>
      <c r="AA106" s="2" t="n">
        <v>18.3549956282583</v>
      </c>
      <c r="AB106" s="2" t="n">
        <v>0.202265994652242</v>
      </c>
    </row>
    <row r="107" customFormat="false" ht="15" hidden="false" customHeight="false" outlineLevel="0" collapsed="false">
      <c r="A107" s="2" t="s">
        <v>244</v>
      </c>
      <c r="B107" s="2" t="s">
        <v>44</v>
      </c>
      <c r="C107" s="2" t="n">
        <v>2009</v>
      </c>
      <c r="D107" s="2" t="s">
        <v>210</v>
      </c>
      <c r="E107" s="2" t="s">
        <v>31</v>
      </c>
      <c r="F107" s="2" t="n">
        <v>37</v>
      </c>
      <c r="G107" s="2" t="s">
        <v>245</v>
      </c>
      <c r="H107" s="2" t="n">
        <v>48.67</v>
      </c>
      <c r="I107" s="2" t="n">
        <v>0.0639</v>
      </c>
      <c r="J107" s="2" t="n">
        <v>33.03</v>
      </c>
      <c r="K107" s="2" t="n">
        <v>0.5076</v>
      </c>
      <c r="L107" s="2" t="n">
        <v>0.1403</v>
      </c>
      <c r="M107" s="2" t="n">
        <v>15.8</v>
      </c>
      <c r="N107" s="2" t="n">
        <v>2.52</v>
      </c>
      <c r="O107" s="2" t="n">
        <v>0.0533</v>
      </c>
      <c r="P107" s="2" t="n">
        <v>100.79</v>
      </c>
      <c r="Q107" s="2" t="n">
        <v>2.92703419323132</v>
      </c>
      <c r="R107" s="2" t="n">
        <v>2.21393415319971</v>
      </c>
      <c r="S107" s="2" t="n">
        <v>0.00218678735188118</v>
      </c>
      <c r="T107" s="2" t="n">
        <v>1.77078842412633</v>
      </c>
      <c r="U107" s="2" t="n">
        <v>0.0193104902813503</v>
      </c>
      <c r="V107" s="2" t="n">
        <v>0.009514187632396</v>
      </c>
      <c r="W107" s="2" t="n">
        <v>0.770077627544556</v>
      </c>
      <c r="X107" s="2" t="n">
        <v>0.222253271702148</v>
      </c>
      <c r="Y107" s="2" t="n">
        <v>0.00309308279590507</v>
      </c>
      <c r="Z107" s="2" t="n">
        <v>77.3617716105611</v>
      </c>
      <c r="AA107" s="2" t="n">
        <v>22.327498202935</v>
      </c>
      <c r="AB107" s="2" t="n">
        <v>0.310730186503852</v>
      </c>
    </row>
    <row r="108" customFormat="false" ht="15" hidden="false" customHeight="false" outlineLevel="0" collapsed="false">
      <c r="A108" s="2" t="s">
        <v>246</v>
      </c>
      <c r="B108" s="2" t="s">
        <v>44</v>
      </c>
      <c r="C108" s="2" t="n">
        <v>2009</v>
      </c>
      <c r="D108" s="2" t="s">
        <v>210</v>
      </c>
      <c r="E108" s="2" t="s">
        <v>31</v>
      </c>
      <c r="F108" s="2" t="n">
        <v>38</v>
      </c>
      <c r="G108" s="2" t="s">
        <v>247</v>
      </c>
      <c r="H108" s="2" t="n">
        <v>48.27</v>
      </c>
      <c r="I108" s="2" t="n">
        <v>0.0782</v>
      </c>
      <c r="J108" s="2" t="n">
        <v>33.02</v>
      </c>
      <c r="K108" s="2" t="n">
        <v>0.6191</v>
      </c>
      <c r="L108" s="2" t="n">
        <v>0.1655</v>
      </c>
      <c r="M108" s="2" t="n">
        <v>15.99</v>
      </c>
      <c r="N108" s="2" t="n">
        <v>2.4</v>
      </c>
      <c r="O108" s="2" t="n">
        <v>0.0445</v>
      </c>
      <c r="P108" s="2" t="n">
        <v>100.59</v>
      </c>
      <c r="Q108" s="2" t="n">
        <v>2.91731923194931</v>
      </c>
      <c r="R108" s="2" t="n">
        <v>2.20305070714866</v>
      </c>
      <c r="S108" s="2" t="n">
        <v>0.00268507418404113</v>
      </c>
      <c r="T108" s="2" t="n">
        <v>1.77614742404588</v>
      </c>
      <c r="U108" s="2" t="n">
        <v>0.0236306861290002</v>
      </c>
      <c r="V108" s="2" t="n">
        <v>0.0112604534586845</v>
      </c>
      <c r="W108" s="2" t="n">
        <v>0.781933327434284</v>
      </c>
      <c r="X108" s="2" t="n">
        <v>0.212374663863033</v>
      </c>
      <c r="Y108" s="2" t="n">
        <v>0.0025910046246029</v>
      </c>
      <c r="Z108" s="2" t="n">
        <v>78.4365648509016</v>
      </c>
      <c r="AA108" s="2" t="n">
        <v>21.3035287157283</v>
      </c>
      <c r="AB108" s="2" t="n">
        <v>0.25990643337009</v>
      </c>
    </row>
    <row r="109" customFormat="false" ht="15" hidden="false" customHeight="false" outlineLevel="0" collapsed="false">
      <c r="A109" s="2" t="s">
        <v>248</v>
      </c>
      <c r="B109" s="2" t="s">
        <v>44</v>
      </c>
      <c r="C109" s="2" t="n">
        <v>2009</v>
      </c>
      <c r="D109" s="2" t="s">
        <v>210</v>
      </c>
      <c r="E109" s="2" t="s">
        <v>31</v>
      </c>
      <c r="F109" s="2" t="n">
        <v>39</v>
      </c>
      <c r="G109" s="2" t="s">
        <v>249</v>
      </c>
      <c r="H109" s="2" t="n">
        <v>48.27</v>
      </c>
      <c r="I109" s="2" t="n">
        <v>0.0669</v>
      </c>
      <c r="J109" s="2" t="n">
        <v>33.22</v>
      </c>
      <c r="K109" s="2" t="n">
        <v>0.6684</v>
      </c>
      <c r="L109" s="2" t="n">
        <v>0.1682</v>
      </c>
      <c r="M109" s="2" t="n">
        <v>16.16</v>
      </c>
      <c r="N109" s="2" t="n">
        <v>2.34</v>
      </c>
      <c r="O109" s="2" t="n">
        <v>0.0478</v>
      </c>
      <c r="P109" s="2" t="n">
        <v>100.94</v>
      </c>
      <c r="Q109" s="2" t="n">
        <v>2.92577256702561</v>
      </c>
      <c r="R109" s="2" t="n">
        <v>2.1966855077386</v>
      </c>
      <c r="S109" s="2" t="n">
        <v>0.00229044066293765</v>
      </c>
      <c r="T109" s="2" t="n">
        <v>1.78174258884384</v>
      </c>
      <c r="U109" s="2" t="n">
        <v>0.0254387261724898</v>
      </c>
      <c r="V109" s="2" t="n">
        <v>0.0114110935234355</v>
      </c>
      <c r="W109" s="2" t="n">
        <v>0.787963332314161</v>
      </c>
      <c r="X109" s="2" t="n">
        <v>0.206467030552156</v>
      </c>
      <c r="Y109" s="2" t="n">
        <v>0.00277510529003119</v>
      </c>
      <c r="Z109" s="2" t="n">
        <v>79.017149170969</v>
      </c>
      <c r="AA109" s="2" t="n">
        <v>20.7045626147514</v>
      </c>
      <c r="AB109" s="2" t="n">
        <v>0.278288214279636</v>
      </c>
    </row>
    <row r="110" customFormat="false" ht="15" hidden="false" customHeight="false" outlineLevel="0" collapsed="false">
      <c r="A110" s="2" t="s">
        <v>250</v>
      </c>
      <c r="B110" s="2" t="s">
        <v>29</v>
      </c>
      <c r="C110" s="2" t="n">
        <v>2009</v>
      </c>
      <c r="D110" s="2" t="s">
        <v>210</v>
      </c>
      <c r="E110" s="2" t="s">
        <v>31</v>
      </c>
      <c r="F110" s="2" t="n">
        <v>40</v>
      </c>
      <c r="G110" s="2" t="s">
        <v>251</v>
      </c>
      <c r="H110" s="2" t="n">
        <v>48</v>
      </c>
      <c r="I110" s="2" t="n">
        <v>0.0688</v>
      </c>
      <c r="J110" s="2" t="n">
        <v>33.32</v>
      </c>
      <c r="K110" s="2" t="n">
        <v>0.6077</v>
      </c>
      <c r="L110" s="2" t="n">
        <v>0.1675</v>
      </c>
      <c r="M110" s="2" t="n">
        <v>16.22</v>
      </c>
      <c r="N110" s="2" t="n">
        <v>2.29</v>
      </c>
      <c r="O110" s="2" t="n">
        <v>0.0457</v>
      </c>
      <c r="P110" s="2" t="n">
        <v>100.72</v>
      </c>
      <c r="Q110" s="2" t="n">
        <v>2.91915371536949</v>
      </c>
      <c r="R110" s="2" t="n">
        <v>2.18935114407088</v>
      </c>
      <c r="S110" s="2" t="n">
        <v>0.00236083135626172</v>
      </c>
      <c r="T110" s="2" t="n">
        <v>1.7911581137055</v>
      </c>
      <c r="U110" s="2" t="n">
        <v>0.0231809779943041</v>
      </c>
      <c r="V110" s="2" t="n">
        <v>0.0113893695252071</v>
      </c>
      <c r="W110" s="2" t="n">
        <v>0.792682190171756</v>
      </c>
      <c r="X110" s="2" t="n">
        <v>0.202513479553164</v>
      </c>
      <c r="Y110" s="2" t="n">
        <v>0.00265920223924404</v>
      </c>
      <c r="Z110" s="2" t="n">
        <v>79.4386250388748</v>
      </c>
      <c r="AA110" s="2" t="n">
        <v>20.294883077991</v>
      </c>
      <c r="AB110" s="2" t="n">
        <v>0.266491883134238</v>
      </c>
    </row>
    <row r="111" customFormat="false" ht="15" hidden="false" customHeight="false" outlineLevel="0" collapsed="false">
      <c r="A111" s="2" t="s">
        <v>252</v>
      </c>
      <c r="B111" s="2" t="s">
        <v>29</v>
      </c>
      <c r="C111" s="2" t="n">
        <v>2009</v>
      </c>
      <c r="D111" s="2" t="s">
        <v>210</v>
      </c>
      <c r="E111" s="2" t="s">
        <v>31</v>
      </c>
      <c r="F111" s="2" t="n">
        <v>41</v>
      </c>
      <c r="G111" s="2" t="s">
        <v>253</v>
      </c>
      <c r="H111" s="2" t="n">
        <v>47.58</v>
      </c>
      <c r="I111" s="2" t="n">
        <v>0.0665</v>
      </c>
      <c r="J111" s="2" t="n">
        <v>33.56</v>
      </c>
      <c r="K111" s="2" t="n">
        <v>0.546</v>
      </c>
      <c r="L111" s="2" t="n">
        <v>0.1514</v>
      </c>
      <c r="M111" s="2" t="n">
        <v>16.5</v>
      </c>
      <c r="N111" s="2" t="n">
        <v>2.11</v>
      </c>
      <c r="O111" s="2" t="n">
        <v>0.0389</v>
      </c>
      <c r="P111" s="2" t="n">
        <v>100.56</v>
      </c>
      <c r="Q111" s="2" t="n">
        <v>2.91293567931576</v>
      </c>
      <c r="R111" s="2" t="n">
        <v>2.17482688060744</v>
      </c>
      <c r="S111" s="2" t="n">
        <v>0.00228677924171976</v>
      </c>
      <c r="T111" s="2" t="n">
        <v>1.80791061011952</v>
      </c>
      <c r="U111" s="2" t="n">
        <v>0.0208718637206872</v>
      </c>
      <c r="V111" s="2" t="n">
        <v>0.0103166053388191</v>
      </c>
      <c r="W111" s="2" t="n">
        <v>0.808087268381151</v>
      </c>
      <c r="X111" s="2" t="n">
        <v>0.186993701327792</v>
      </c>
      <c r="Y111" s="2" t="n">
        <v>0.00226835403569511</v>
      </c>
      <c r="Z111" s="2" t="n">
        <v>81.0234938894944</v>
      </c>
      <c r="AA111" s="2" t="n">
        <v>18.7490678417174</v>
      </c>
      <c r="AB111" s="2" t="n">
        <v>0.227438268788148</v>
      </c>
    </row>
    <row r="112" customFormat="false" ht="15" hidden="false" customHeight="false" outlineLevel="0" collapsed="false">
      <c r="A112" s="2" t="s">
        <v>254</v>
      </c>
      <c r="B112" s="2" t="s">
        <v>29</v>
      </c>
      <c r="C112" s="2" t="n">
        <v>2009</v>
      </c>
      <c r="D112" s="2" t="s">
        <v>210</v>
      </c>
      <c r="E112" s="2" t="s">
        <v>31</v>
      </c>
      <c r="F112" s="2" t="n">
        <v>42</v>
      </c>
      <c r="G112" s="2" t="s">
        <v>255</v>
      </c>
      <c r="H112" s="2" t="n">
        <v>49.36</v>
      </c>
      <c r="I112" s="2" t="n">
        <v>0.0794</v>
      </c>
      <c r="J112" s="2" t="n">
        <v>32.28</v>
      </c>
      <c r="K112" s="2" t="n">
        <v>0.6128</v>
      </c>
      <c r="L112" s="2" t="n">
        <v>0.1871</v>
      </c>
      <c r="M112" s="2" t="n">
        <v>15.1</v>
      </c>
      <c r="N112" s="2" t="n">
        <v>2.85</v>
      </c>
      <c r="O112" s="2" t="n">
        <v>0.0653</v>
      </c>
      <c r="P112" s="2" t="n">
        <v>100.53</v>
      </c>
      <c r="Q112" s="2" t="n">
        <v>2.92391733430583</v>
      </c>
      <c r="R112" s="2" t="n">
        <v>2.24771482795917</v>
      </c>
      <c r="S112" s="2" t="n">
        <v>0.00272012525979924</v>
      </c>
      <c r="T112" s="2" t="n">
        <v>1.73242456215686</v>
      </c>
      <c r="U112" s="2" t="n">
        <v>0.023337436509496</v>
      </c>
      <c r="V112" s="2" t="n">
        <v>0.0127013690301318</v>
      </c>
      <c r="W112" s="2" t="n">
        <v>0.736744788639483</v>
      </c>
      <c r="X112" s="2" t="n">
        <v>0.251625811115319</v>
      </c>
      <c r="Y112" s="2" t="n">
        <v>0.00379350118001457</v>
      </c>
      <c r="Z112" s="2" t="n">
        <v>74.2563440811175</v>
      </c>
      <c r="AA112" s="2" t="n">
        <v>25.3613097750904</v>
      </c>
      <c r="AB112" s="2" t="n">
        <v>0.382346143792175</v>
      </c>
    </row>
    <row r="113" customFormat="false" ht="15" hidden="false" customHeight="false" outlineLevel="0" collapsed="false">
      <c r="A113" s="2" t="s">
        <v>256</v>
      </c>
      <c r="B113" s="2" t="s">
        <v>29</v>
      </c>
      <c r="C113" s="2" t="n">
        <v>2009</v>
      </c>
      <c r="D113" s="2" t="s">
        <v>210</v>
      </c>
      <c r="E113" s="2" t="s">
        <v>31</v>
      </c>
      <c r="F113" s="2" t="n">
        <v>43</v>
      </c>
      <c r="G113" s="2" t="s">
        <v>257</v>
      </c>
      <c r="H113" s="2" t="n">
        <v>48.16</v>
      </c>
      <c r="I113" s="2" t="n">
        <v>0.0821</v>
      </c>
      <c r="J113" s="2" t="n">
        <v>33.26</v>
      </c>
      <c r="K113" s="2" t="n">
        <v>0.7585</v>
      </c>
      <c r="L113" s="2" t="n">
        <v>0.158</v>
      </c>
      <c r="M113" s="2" t="n">
        <v>16.02</v>
      </c>
      <c r="N113" s="2" t="n">
        <v>2.35</v>
      </c>
      <c r="O113" s="2" t="n">
        <v>0.0397</v>
      </c>
      <c r="P113" s="2" t="n">
        <v>100.83</v>
      </c>
      <c r="Q113" s="2" t="n">
        <v>2.92224840486413</v>
      </c>
      <c r="R113" s="2" t="n">
        <v>2.19432270857297</v>
      </c>
      <c r="S113" s="2" t="n">
        <v>0.00281422954328189</v>
      </c>
      <c r="T113" s="2" t="n">
        <v>1.78603930078354</v>
      </c>
      <c r="U113" s="2" t="n">
        <v>0.0289026682281577</v>
      </c>
      <c r="V113" s="2" t="n">
        <v>0.0107320279127489</v>
      </c>
      <c r="W113" s="2" t="n">
        <v>0.782078949873715</v>
      </c>
      <c r="X113" s="2" t="n">
        <v>0.20759942670236</v>
      </c>
      <c r="Y113" s="2" t="n">
        <v>0.0023076264527893</v>
      </c>
      <c r="Z113" s="2" t="n">
        <v>78.8397162344798</v>
      </c>
      <c r="AA113" s="2" t="n">
        <v>20.9276568488356</v>
      </c>
      <c r="AB113" s="2" t="n">
        <v>0.232626916684646</v>
      </c>
    </row>
    <row r="114" customFormat="false" ht="15" hidden="false" customHeight="false" outlineLevel="0" collapsed="false">
      <c r="A114" s="2" t="s">
        <v>258</v>
      </c>
      <c r="B114" s="2" t="s">
        <v>29</v>
      </c>
      <c r="C114" s="2" t="n">
        <v>2009</v>
      </c>
      <c r="D114" s="2" t="s">
        <v>210</v>
      </c>
      <c r="E114" s="2" t="s">
        <v>31</v>
      </c>
      <c r="F114" s="2" t="n">
        <v>44</v>
      </c>
      <c r="G114" s="2" t="s">
        <v>259</v>
      </c>
      <c r="H114" s="2" t="n">
        <v>48.05</v>
      </c>
      <c r="I114" s="2" t="n">
        <v>0.0791</v>
      </c>
      <c r="J114" s="2" t="n">
        <v>33.3</v>
      </c>
      <c r="K114" s="2" t="n">
        <v>0.5635</v>
      </c>
      <c r="L114" s="2" t="n">
        <v>0.1532</v>
      </c>
      <c r="M114" s="2" t="n">
        <v>16.2</v>
      </c>
      <c r="N114" s="2" t="n">
        <v>2.24</v>
      </c>
      <c r="O114" s="2" t="n">
        <v>0.0466</v>
      </c>
      <c r="P114" s="2" t="n">
        <v>100.64</v>
      </c>
      <c r="Q114" s="2" t="n">
        <v>2.91836367890283</v>
      </c>
      <c r="R114" s="2" t="n">
        <v>2.19222501948418</v>
      </c>
      <c r="S114" s="2" t="n">
        <v>0.00271500455728495</v>
      </c>
      <c r="T114" s="2" t="n">
        <v>1.79056758597775</v>
      </c>
      <c r="U114" s="2" t="n">
        <v>0.0215007689188039</v>
      </c>
      <c r="V114" s="2" t="n">
        <v>0.0104198433654638</v>
      </c>
      <c r="W114" s="2" t="n">
        <v>0.791919100958622</v>
      </c>
      <c r="X114" s="2" t="n">
        <v>0.198145413710982</v>
      </c>
      <c r="Y114" s="2" t="n">
        <v>0.002712305704124</v>
      </c>
      <c r="Z114" s="2" t="n">
        <v>79.7680893335631</v>
      </c>
      <c r="AA114" s="2" t="n">
        <v>19.9587066946618</v>
      </c>
      <c r="AB114" s="2" t="n">
        <v>0.273203971775143</v>
      </c>
    </row>
    <row r="115" customFormat="false" ht="15" hidden="false" customHeight="false" outlineLevel="0" collapsed="false">
      <c r="A115" s="2" t="s">
        <v>260</v>
      </c>
      <c r="B115" s="2" t="s">
        <v>29</v>
      </c>
      <c r="C115" s="2" t="n">
        <v>2009</v>
      </c>
      <c r="D115" s="2" t="s">
        <v>210</v>
      </c>
      <c r="E115" s="2" t="s">
        <v>31</v>
      </c>
      <c r="F115" s="2" t="n">
        <v>45</v>
      </c>
      <c r="G115" s="2" t="s">
        <v>261</v>
      </c>
      <c r="H115" s="2" t="n">
        <v>50.23</v>
      </c>
      <c r="I115" s="2" t="n">
        <v>0.0901</v>
      </c>
      <c r="J115" s="2" t="n">
        <v>31.59</v>
      </c>
      <c r="K115" s="2" t="n">
        <v>0.6054</v>
      </c>
      <c r="L115" s="2" t="n">
        <v>0.1994</v>
      </c>
      <c r="M115" s="2" t="n">
        <v>14.5</v>
      </c>
      <c r="N115" s="2" t="n">
        <v>3.25</v>
      </c>
      <c r="O115" s="2" t="n">
        <v>0.0666</v>
      </c>
      <c r="P115" s="2" t="n">
        <v>100.54</v>
      </c>
      <c r="Q115" s="2" t="n">
        <v>2.92881306900998</v>
      </c>
      <c r="R115" s="2" t="n">
        <v>2.28350871752595</v>
      </c>
      <c r="S115" s="2" t="n">
        <v>0.00308153161813213</v>
      </c>
      <c r="T115" s="2" t="n">
        <v>1.69255920293788</v>
      </c>
      <c r="U115" s="2" t="n">
        <v>0.0230170809771765</v>
      </c>
      <c r="V115" s="2" t="n">
        <v>0.0135137330932018</v>
      </c>
      <c r="W115" s="2" t="n">
        <v>0.706287570875676</v>
      </c>
      <c r="X115" s="2" t="n">
        <v>0.286462069441729</v>
      </c>
      <c r="Y115" s="2" t="n">
        <v>0.00386255527621004</v>
      </c>
      <c r="Z115" s="2" t="n">
        <v>70.8688468793007</v>
      </c>
      <c r="AA115" s="2" t="n">
        <v>28.743584586691</v>
      </c>
      <c r="AB115" s="2" t="n">
        <v>0.387568534008294</v>
      </c>
    </row>
    <row r="116" customFormat="false" ht="15" hidden="false" customHeight="false" outlineLevel="0" collapsed="false">
      <c r="A116" s="2" t="s">
        <v>262</v>
      </c>
      <c r="B116" s="2" t="s">
        <v>29</v>
      </c>
      <c r="C116" s="2" t="n">
        <v>2009</v>
      </c>
      <c r="D116" s="2" t="s">
        <v>210</v>
      </c>
      <c r="E116" s="2" t="s">
        <v>31</v>
      </c>
      <c r="F116" s="2" t="n">
        <v>46</v>
      </c>
      <c r="G116" s="2" t="s">
        <v>263</v>
      </c>
      <c r="H116" s="2" t="n">
        <v>48.09</v>
      </c>
      <c r="I116" s="2" t="n">
        <v>0.0583</v>
      </c>
      <c r="J116" s="2" t="n">
        <v>33.21</v>
      </c>
      <c r="K116" s="2" t="n">
        <v>0.5679</v>
      </c>
      <c r="L116" s="2" t="n">
        <v>0.1731</v>
      </c>
      <c r="M116" s="2" t="n">
        <v>16.09</v>
      </c>
      <c r="N116" s="2" t="n">
        <v>2.29</v>
      </c>
      <c r="O116" s="2" t="n">
        <v>0.0299</v>
      </c>
      <c r="P116" s="2" t="n">
        <v>100.5</v>
      </c>
      <c r="Q116" s="2" t="n">
        <v>2.91574903373944</v>
      </c>
      <c r="R116" s="2" t="n">
        <v>2.19601744726919</v>
      </c>
      <c r="S116" s="2" t="n">
        <v>0.00200286605168117</v>
      </c>
      <c r="T116" s="2" t="n">
        <v>1.78732953357346</v>
      </c>
      <c r="U116" s="2" t="n">
        <v>0.0216880852218657</v>
      </c>
      <c r="V116" s="2" t="n">
        <v>0.011783892293506</v>
      </c>
      <c r="W116" s="2" t="n">
        <v>0.787247189681036</v>
      </c>
      <c r="X116" s="2" t="n">
        <v>0.202749951868063</v>
      </c>
      <c r="Y116" s="2" t="n">
        <v>0.00174185973526644</v>
      </c>
      <c r="Z116" s="2" t="n">
        <v>79.3804810198551</v>
      </c>
      <c r="AA116" s="2" t="n">
        <v>20.4438820703319</v>
      </c>
      <c r="AB116" s="2" t="n">
        <v>0.175636909813027</v>
      </c>
    </row>
    <row r="117" customFormat="false" ht="15" hidden="false" customHeight="false" outlineLevel="0" collapsed="false">
      <c r="A117" s="2" t="s">
        <v>264</v>
      </c>
      <c r="B117" s="2" t="s">
        <v>29</v>
      </c>
      <c r="C117" s="2" t="n">
        <v>2009</v>
      </c>
      <c r="D117" s="2" t="s">
        <v>210</v>
      </c>
      <c r="E117" s="2" t="s">
        <v>31</v>
      </c>
      <c r="F117" s="2" t="n">
        <v>47</v>
      </c>
      <c r="G117" s="2" t="s">
        <v>265</v>
      </c>
      <c r="H117" s="2" t="n">
        <v>48.53</v>
      </c>
      <c r="I117" s="2" t="n">
        <v>0.0699</v>
      </c>
      <c r="J117" s="2" t="n">
        <v>33.15</v>
      </c>
      <c r="K117" s="2" t="n">
        <v>0.5241</v>
      </c>
      <c r="L117" s="2" t="n">
        <v>0.1783</v>
      </c>
      <c r="M117" s="2" t="n">
        <v>15.95</v>
      </c>
      <c r="N117" s="2" t="n">
        <v>2.35</v>
      </c>
      <c r="O117" s="2" t="n">
        <v>0.0392</v>
      </c>
      <c r="P117" s="2" t="n">
        <v>100.8</v>
      </c>
      <c r="Q117" s="2" t="n">
        <v>2.92700990426702</v>
      </c>
      <c r="R117" s="2" t="n">
        <v>2.20758405657921</v>
      </c>
      <c r="S117" s="2" t="n">
        <v>0.00239213934792518</v>
      </c>
      <c r="T117" s="2" t="n">
        <v>1.77723655400311</v>
      </c>
      <c r="U117" s="2" t="n">
        <v>0.0199383607951654</v>
      </c>
      <c r="V117" s="2" t="n">
        <v>0.0120911883947487</v>
      </c>
      <c r="W117" s="2" t="n">
        <v>0.777394942035839</v>
      </c>
      <c r="X117" s="2" t="n">
        <v>0.207261715325011</v>
      </c>
      <c r="Y117" s="2" t="n">
        <v>0.00227485650560506</v>
      </c>
      <c r="Z117" s="2" t="n">
        <v>78.768884275493</v>
      </c>
      <c r="AA117" s="2" t="n">
        <v>21.0006178152151</v>
      </c>
      <c r="AB117" s="2" t="n">
        <v>0.230497909291899</v>
      </c>
    </row>
    <row r="118" customFormat="false" ht="15" hidden="false" customHeight="false" outlineLevel="0" collapsed="false">
      <c r="A118" s="2" t="s">
        <v>266</v>
      </c>
      <c r="B118" s="2" t="s">
        <v>29</v>
      </c>
      <c r="C118" s="2" t="n">
        <v>2009</v>
      </c>
      <c r="D118" s="2" t="s">
        <v>210</v>
      </c>
      <c r="E118" s="2" t="s">
        <v>31</v>
      </c>
      <c r="F118" s="2" t="n">
        <v>48</v>
      </c>
      <c r="G118" s="2" t="s">
        <v>267</v>
      </c>
      <c r="H118" s="2" t="n">
        <v>47.39</v>
      </c>
      <c r="I118" s="2" t="n">
        <v>0.0654</v>
      </c>
      <c r="J118" s="2" t="n">
        <v>33.7</v>
      </c>
      <c r="K118" s="2" t="n">
        <v>0.5574</v>
      </c>
      <c r="L118" s="2" t="n">
        <v>0.1551</v>
      </c>
      <c r="M118" s="2" t="n">
        <v>16.73</v>
      </c>
      <c r="N118" s="2" t="n">
        <v>1.96</v>
      </c>
      <c r="O118" s="2" t="n">
        <v>0.0296</v>
      </c>
      <c r="P118" s="2" t="n">
        <v>100.6</v>
      </c>
      <c r="Q118" s="2" t="n">
        <v>2.91253595261989</v>
      </c>
      <c r="R118" s="2" t="n">
        <v>2.16643948890313</v>
      </c>
      <c r="S118" s="2" t="n">
        <v>0.00224926147238101</v>
      </c>
      <c r="T118" s="2" t="n">
        <v>1.81570170859854</v>
      </c>
      <c r="U118" s="2" t="n">
        <v>0.0213105742232275</v>
      </c>
      <c r="V118" s="2" t="n">
        <v>0.010570178944291</v>
      </c>
      <c r="W118" s="2" t="n">
        <v>0.819463965841282</v>
      </c>
      <c r="X118" s="2" t="n">
        <v>0.173724149480714</v>
      </c>
      <c r="Y118" s="2" t="n">
        <v>0.0017262852040312</v>
      </c>
      <c r="Z118" s="2" t="n">
        <v>82.3652733750782</v>
      </c>
      <c r="AA118" s="2" t="n">
        <v>17.4612156974372</v>
      </c>
      <c r="AB118" s="2" t="n">
        <v>0.173510927484664</v>
      </c>
    </row>
    <row r="119" customFormat="false" ht="15" hidden="false" customHeight="false" outlineLevel="0" collapsed="false">
      <c r="A119" s="2" t="s">
        <v>268</v>
      </c>
      <c r="B119" s="2" t="s">
        <v>29</v>
      </c>
      <c r="C119" s="2" t="n">
        <v>2009</v>
      </c>
      <c r="D119" s="2" t="s">
        <v>210</v>
      </c>
      <c r="E119" s="2" t="s">
        <v>31</v>
      </c>
      <c r="F119" s="2" t="n">
        <v>49</v>
      </c>
      <c r="G119" s="2" t="s">
        <v>269</v>
      </c>
      <c r="H119" s="2" t="n">
        <v>50.59</v>
      </c>
      <c r="I119" s="2" t="n">
        <v>0.0964</v>
      </c>
      <c r="J119" s="2" t="n">
        <v>31.54</v>
      </c>
      <c r="K119" s="2" t="n">
        <v>0.7325</v>
      </c>
      <c r="L119" s="2" t="n">
        <v>0.2179</v>
      </c>
      <c r="M119" s="2" t="n">
        <v>14.25</v>
      </c>
      <c r="N119" s="2" t="n">
        <v>3.36</v>
      </c>
      <c r="O119" s="2" t="n">
        <v>0.0751</v>
      </c>
      <c r="P119" s="2" t="n">
        <v>100.86</v>
      </c>
      <c r="Q119" s="2" t="n">
        <v>2.93911790763106</v>
      </c>
      <c r="R119" s="2" t="n">
        <v>2.29181110820622</v>
      </c>
      <c r="S119" s="2" t="n">
        <v>0.00328543981605413</v>
      </c>
      <c r="T119" s="2" t="n">
        <v>1.68395536754026</v>
      </c>
      <c r="U119" s="2" t="n">
        <v>0.0277517326456865</v>
      </c>
      <c r="V119" s="2" t="n">
        <v>0.0147157383792685</v>
      </c>
      <c r="W119" s="2" t="n">
        <v>0.691676579827141</v>
      </c>
      <c r="X119" s="2" t="n">
        <v>0.295119350442145</v>
      </c>
      <c r="Y119" s="2" t="n">
        <v>0.00434025314381113</v>
      </c>
      <c r="Z119" s="2" t="n">
        <v>69.7862303286385</v>
      </c>
      <c r="AA119" s="2" t="n">
        <v>29.7758628310659</v>
      </c>
      <c r="AB119" s="2" t="n">
        <v>0.437906840295644</v>
      </c>
    </row>
    <row r="120" customFormat="false" ht="15" hidden="false" customHeight="false" outlineLevel="0" collapsed="false">
      <c r="A120" s="2" t="s">
        <v>270</v>
      </c>
      <c r="B120" s="2" t="s">
        <v>44</v>
      </c>
      <c r="C120" s="2" t="n">
        <v>2009</v>
      </c>
      <c r="D120" s="2" t="s">
        <v>210</v>
      </c>
      <c r="E120" s="2" t="s">
        <v>31</v>
      </c>
      <c r="F120" s="2" t="n">
        <v>50</v>
      </c>
      <c r="G120" s="2" t="s">
        <v>271</v>
      </c>
      <c r="H120" s="2" t="n">
        <v>51.4</v>
      </c>
      <c r="I120" s="2" t="n">
        <v>0.1325</v>
      </c>
      <c r="J120" s="2" t="n">
        <v>30.79</v>
      </c>
      <c r="K120" s="2" t="n">
        <v>0.8755</v>
      </c>
      <c r="L120" s="2" t="n">
        <v>0.2298</v>
      </c>
      <c r="M120" s="2" t="n">
        <v>13.67</v>
      </c>
      <c r="N120" s="2" t="n">
        <v>3.71</v>
      </c>
      <c r="O120" s="2" t="n">
        <v>0.0893</v>
      </c>
      <c r="P120" s="2" t="n">
        <v>100.9</v>
      </c>
      <c r="Q120" s="2" t="n">
        <v>2.94265750852847</v>
      </c>
      <c r="R120" s="2" t="n">
        <v>2.32570459205193</v>
      </c>
      <c r="S120" s="2" t="n">
        <v>0.00451034384115665</v>
      </c>
      <c r="T120" s="2" t="n">
        <v>1.64193464705202</v>
      </c>
      <c r="U120" s="2" t="n">
        <v>0.0331295788485288</v>
      </c>
      <c r="V120" s="2" t="n">
        <v>0.0155007296956039</v>
      </c>
      <c r="W120" s="2" t="n">
        <v>0.662726003853495</v>
      </c>
      <c r="X120" s="2" t="n">
        <v>0.325468984800378</v>
      </c>
      <c r="Y120" s="2" t="n">
        <v>0.00515470567596863</v>
      </c>
      <c r="Z120" s="2" t="n">
        <v>66.716284067576</v>
      </c>
      <c r="AA120" s="2" t="n">
        <v>32.7647943778705</v>
      </c>
      <c r="AB120" s="2" t="n">
        <v>0.518921554553477</v>
      </c>
    </row>
    <row r="121" customFormat="false" ht="15" hidden="false" customHeight="false" outlineLevel="0" collapsed="false">
      <c r="A121" s="2" t="s">
        <v>272</v>
      </c>
      <c r="B121" s="2" t="s">
        <v>44</v>
      </c>
      <c r="C121" s="2" t="n">
        <v>2009</v>
      </c>
      <c r="D121" s="2" t="s">
        <v>210</v>
      </c>
      <c r="E121" s="2" t="s">
        <v>31</v>
      </c>
      <c r="F121" s="2" t="n">
        <v>51</v>
      </c>
      <c r="G121" s="2" t="s">
        <v>273</v>
      </c>
      <c r="H121" s="2" t="n">
        <v>47.47</v>
      </c>
      <c r="I121" s="2" t="n">
        <v>0.06</v>
      </c>
      <c r="J121" s="2" t="n">
        <v>33.82</v>
      </c>
      <c r="K121" s="2" t="n">
        <v>0.6222</v>
      </c>
      <c r="L121" s="2" t="n">
        <v>0.1547</v>
      </c>
      <c r="M121" s="2" t="n">
        <v>16.78</v>
      </c>
      <c r="N121" s="2" t="n">
        <v>1.96</v>
      </c>
      <c r="O121" s="2" t="n">
        <v>0.0328</v>
      </c>
      <c r="P121" s="2" t="n">
        <v>100.9</v>
      </c>
      <c r="Q121" s="2" t="n">
        <v>2.92041205762701</v>
      </c>
      <c r="R121" s="2" t="n">
        <v>2.16424413065611</v>
      </c>
      <c r="S121" s="2" t="n">
        <v>0.00205797743476731</v>
      </c>
      <c r="T121" s="2" t="n">
        <v>1.81725288425069</v>
      </c>
      <c r="U121" s="2" t="n">
        <v>0.0237238602301258</v>
      </c>
      <c r="V121" s="2" t="n">
        <v>0.0105144852880375</v>
      </c>
      <c r="W121" s="2" t="n">
        <v>0.819696421036748</v>
      </c>
      <c r="X121" s="2" t="n">
        <v>0.173255630101742</v>
      </c>
      <c r="Y121" s="2" t="n">
        <v>0.00190775167285889</v>
      </c>
      <c r="Z121" s="2" t="n">
        <v>82.3931591889017</v>
      </c>
      <c r="AA121" s="2" t="n">
        <v>17.4150799552</v>
      </c>
      <c r="AB121" s="2" t="n">
        <v>0.19176085589827</v>
      </c>
    </row>
    <row r="122" customFormat="false" ht="15" hidden="false" customHeight="false" outlineLevel="0" collapsed="false">
      <c r="A122" s="2" t="s">
        <v>274</v>
      </c>
      <c r="B122" s="2" t="s">
        <v>44</v>
      </c>
      <c r="C122" s="2" t="n">
        <v>2009</v>
      </c>
      <c r="D122" s="2" t="s">
        <v>210</v>
      </c>
      <c r="E122" s="2" t="s">
        <v>31</v>
      </c>
      <c r="F122" s="2" t="n">
        <v>52</v>
      </c>
      <c r="G122" s="2" t="s">
        <v>275</v>
      </c>
      <c r="H122" s="2" t="n">
        <v>52.51</v>
      </c>
      <c r="I122" s="2" t="n">
        <v>0.1503</v>
      </c>
      <c r="J122" s="2" t="n">
        <v>29.95</v>
      </c>
      <c r="K122" s="2" t="n">
        <v>0.9081</v>
      </c>
      <c r="L122" s="2" t="n">
        <v>0.2042</v>
      </c>
      <c r="M122" s="2" t="n">
        <v>12.87</v>
      </c>
      <c r="N122" s="2" t="n">
        <v>4.19</v>
      </c>
      <c r="O122" s="2" t="n">
        <v>0.1113</v>
      </c>
      <c r="P122" s="2" t="n">
        <v>100.9</v>
      </c>
      <c r="Q122" s="2" t="n">
        <v>2.94886680734476</v>
      </c>
      <c r="R122" s="2" t="n">
        <v>2.37092606308339</v>
      </c>
      <c r="S122" s="2" t="n">
        <v>0.00510548864401824</v>
      </c>
      <c r="T122" s="2" t="n">
        <v>1.59377704010877</v>
      </c>
      <c r="U122" s="2" t="n">
        <v>0.0342908303327792</v>
      </c>
      <c r="V122" s="2" t="n">
        <v>0.0137449263645582</v>
      </c>
      <c r="W122" s="2" t="n">
        <v>0.622627939505506</v>
      </c>
      <c r="X122" s="2" t="n">
        <v>0.366804186433637</v>
      </c>
      <c r="Y122" s="2" t="n">
        <v>0.0064110939247139</v>
      </c>
      <c r="Z122" s="2" t="n">
        <v>62.5226870139886</v>
      </c>
      <c r="AA122" s="2" t="n">
        <v>36.8335275188984</v>
      </c>
      <c r="AB122" s="2" t="n">
        <v>0.643785467113023</v>
      </c>
    </row>
    <row r="123" customFormat="false" ht="15" hidden="false" customHeight="false" outlineLevel="0" collapsed="false">
      <c r="A123" s="2" t="s">
        <v>276</v>
      </c>
      <c r="B123" s="2" t="s">
        <v>44</v>
      </c>
      <c r="C123" s="2" t="n">
        <v>2009</v>
      </c>
      <c r="D123" s="2" t="s">
        <v>210</v>
      </c>
      <c r="E123" s="2" t="s">
        <v>31</v>
      </c>
      <c r="F123" s="2" t="n">
        <v>53</v>
      </c>
      <c r="G123" s="2" t="s">
        <v>277</v>
      </c>
      <c r="H123" s="2" t="n">
        <v>50.34</v>
      </c>
      <c r="I123" s="2" t="n">
        <v>0.0895</v>
      </c>
      <c r="J123" s="2" t="n">
        <v>31.67</v>
      </c>
      <c r="K123" s="2" t="n">
        <v>0.6054</v>
      </c>
      <c r="L123" s="2" t="n">
        <v>0.2146</v>
      </c>
      <c r="M123" s="2" t="n">
        <v>14.55</v>
      </c>
      <c r="N123" s="2" t="n">
        <v>3.21</v>
      </c>
      <c r="O123" s="2" t="n">
        <v>0.0818</v>
      </c>
      <c r="P123" s="2" t="n">
        <v>100.75</v>
      </c>
      <c r="Q123" s="2" t="n">
        <v>2.93559817776194</v>
      </c>
      <c r="R123" s="2" t="n">
        <v>2.28321995425069</v>
      </c>
      <c r="S123" s="2" t="n">
        <v>0.00305393589712593</v>
      </c>
      <c r="T123" s="2" t="n">
        <v>1.69292356524902</v>
      </c>
      <c r="U123" s="2" t="n">
        <v>0.0229638811221126</v>
      </c>
      <c r="V123" s="2" t="n">
        <v>0.0145102516697075</v>
      </c>
      <c r="W123" s="2" t="n">
        <v>0.707084959033017</v>
      </c>
      <c r="X123" s="2" t="n">
        <v>0.282282425723732</v>
      </c>
      <c r="Y123" s="2" t="n">
        <v>0.00473313428826748</v>
      </c>
      <c r="Z123" s="2" t="n">
        <v>71.1281148622957</v>
      </c>
      <c r="AA123" s="2" t="n">
        <v>28.3957628344171</v>
      </c>
      <c r="AB123" s="2" t="n">
        <v>0.476122303287234</v>
      </c>
    </row>
    <row r="124" customFormat="false" ht="15" hidden="false" customHeight="false" outlineLevel="0" collapsed="false">
      <c r="A124" s="2" t="s">
        <v>278</v>
      </c>
      <c r="B124" s="2" t="s">
        <v>44</v>
      </c>
      <c r="C124" s="2" t="n">
        <v>2009</v>
      </c>
      <c r="D124" s="2" t="s">
        <v>210</v>
      </c>
      <c r="E124" s="2" t="s">
        <v>31</v>
      </c>
      <c r="F124" s="2" t="n">
        <v>54</v>
      </c>
      <c r="G124" s="2" t="s">
        <v>279</v>
      </c>
      <c r="H124" s="2" t="n">
        <v>48.76</v>
      </c>
      <c r="I124" s="2" t="n">
        <v>0.0813</v>
      </c>
      <c r="J124" s="2" t="n">
        <v>32.96</v>
      </c>
      <c r="K124" s="2" t="n">
        <v>0.5953</v>
      </c>
      <c r="L124" s="2" t="n">
        <v>0.1823</v>
      </c>
      <c r="M124" s="2" t="n">
        <v>15.95</v>
      </c>
      <c r="N124" s="2" t="n">
        <v>2.49</v>
      </c>
      <c r="O124" s="2" t="n">
        <v>0.0468</v>
      </c>
      <c r="P124" s="2" t="n">
        <v>101.07</v>
      </c>
      <c r="Q124" s="2" t="n">
        <v>2.93279075672482</v>
      </c>
      <c r="R124" s="2" t="n">
        <v>2.21367452709632</v>
      </c>
      <c r="S124" s="2" t="n">
        <v>0.002776789495434</v>
      </c>
      <c r="T124" s="2" t="n">
        <v>1.76356723110516</v>
      </c>
      <c r="U124" s="2" t="n">
        <v>0.0226023859496508</v>
      </c>
      <c r="V124" s="2" t="n">
        <v>0.012338075589704</v>
      </c>
      <c r="W124" s="2" t="n">
        <v>0.775862611285326</v>
      </c>
      <c r="X124" s="2" t="n">
        <v>0.219176347891497</v>
      </c>
      <c r="Y124" s="2" t="n">
        <v>0.00271054677663789</v>
      </c>
      <c r="Z124" s="2" t="n">
        <v>77.761262386585</v>
      </c>
      <c r="AA124" s="2" t="n">
        <v>21.9670715528994</v>
      </c>
      <c r="AB124" s="2" t="n">
        <v>0.271666060515626</v>
      </c>
    </row>
    <row r="125" customFormat="false" ht="15" hidden="false" customHeight="false" outlineLevel="0" collapsed="false">
      <c r="A125" s="2" t="s">
        <v>280</v>
      </c>
      <c r="B125" s="2" t="s">
        <v>44</v>
      </c>
      <c r="C125" s="2" t="n">
        <v>2009</v>
      </c>
      <c r="D125" s="2" t="s">
        <v>210</v>
      </c>
      <c r="E125" s="2" t="s">
        <v>31</v>
      </c>
      <c r="F125" s="2" t="n">
        <v>55</v>
      </c>
      <c r="G125" s="2" t="s">
        <v>281</v>
      </c>
      <c r="H125" s="2" t="n">
        <v>48.12</v>
      </c>
      <c r="I125" s="2" t="n">
        <v>0.0572</v>
      </c>
      <c r="J125" s="2" t="n">
        <v>33.53</v>
      </c>
      <c r="K125" s="2" t="n">
        <v>0.5984</v>
      </c>
      <c r="L125" s="2" t="n">
        <v>0.1794</v>
      </c>
      <c r="M125" s="2" t="n">
        <v>16.38</v>
      </c>
      <c r="N125" s="2" t="n">
        <v>2.2</v>
      </c>
      <c r="O125" s="2" t="n">
        <v>0.0416</v>
      </c>
      <c r="P125" s="2" t="n">
        <v>101.11</v>
      </c>
      <c r="Q125" s="2" t="n">
        <v>2.93055986320653</v>
      </c>
      <c r="R125" s="2" t="n">
        <v>2.18628195868646</v>
      </c>
      <c r="S125" s="2" t="n">
        <v>0.00195514477901092</v>
      </c>
      <c r="T125" s="2" t="n">
        <v>1.79543155044935</v>
      </c>
      <c r="U125" s="2" t="n">
        <v>0.0227373826383405</v>
      </c>
      <c r="V125" s="2" t="n">
        <v>0.0121510463731592</v>
      </c>
      <c r="W125" s="2" t="n">
        <v>0.797385833105256</v>
      </c>
      <c r="X125" s="2" t="n">
        <v>0.193797201503372</v>
      </c>
      <c r="Y125" s="2" t="n">
        <v>0.00241120905318398</v>
      </c>
      <c r="Z125" s="2" t="n">
        <v>80.2526623107794</v>
      </c>
      <c r="AA125" s="2" t="n">
        <v>19.5046622642607</v>
      </c>
      <c r="AB125" s="2" t="n">
        <v>0.242675424959958</v>
      </c>
    </row>
    <row r="126" customFormat="false" ht="15" hidden="false" customHeight="false" outlineLevel="0" collapsed="false">
      <c r="A126" s="2" t="s">
        <v>282</v>
      </c>
      <c r="B126" s="2" t="s">
        <v>44</v>
      </c>
      <c r="C126" s="2" t="n">
        <v>2009</v>
      </c>
      <c r="D126" s="2" t="s">
        <v>210</v>
      </c>
      <c r="E126" s="2" t="s">
        <v>31</v>
      </c>
      <c r="F126" s="2" t="n">
        <v>56</v>
      </c>
      <c r="G126" s="2" t="s">
        <v>283</v>
      </c>
      <c r="H126" s="2" t="n">
        <v>51.63</v>
      </c>
      <c r="I126" s="2" t="n">
        <v>0.1171</v>
      </c>
      <c r="J126" s="2" t="n">
        <v>30.81</v>
      </c>
      <c r="K126" s="2" t="n">
        <v>0.7784</v>
      </c>
      <c r="L126" s="2" t="n">
        <v>0.2</v>
      </c>
      <c r="M126" s="2" t="n">
        <v>13.7</v>
      </c>
      <c r="N126" s="2" t="n">
        <v>3.81</v>
      </c>
      <c r="O126" s="2" t="n">
        <v>0.0936</v>
      </c>
      <c r="P126" s="2" t="n">
        <v>101.14</v>
      </c>
      <c r="Q126" s="2" t="n">
        <v>2.95061942461047</v>
      </c>
      <c r="R126" s="2" t="n">
        <v>2.3298077062867</v>
      </c>
      <c r="S126" s="2" t="n">
        <v>0.00397536663982675</v>
      </c>
      <c r="T126" s="2" t="n">
        <v>1.63856772996008</v>
      </c>
      <c r="U126" s="2" t="n">
        <v>0.0293757601056336</v>
      </c>
      <c r="V126" s="2" t="n">
        <v>0.0134542234224744</v>
      </c>
      <c r="W126" s="2" t="n">
        <v>0.662388197052793</v>
      </c>
      <c r="X126" s="2" t="n">
        <v>0.333339819829611</v>
      </c>
      <c r="Y126" s="2" t="n">
        <v>0.00538833742223012</v>
      </c>
      <c r="Z126" s="2" t="n">
        <v>66.1649561716412</v>
      </c>
      <c r="AA126" s="2" t="n">
        <v>33.2968109447324</v>
      </c>
      <c r="AB126" s="2" t="n">
        <v>0.53823288362648</v>
      </c>
    </row>
    <row r="127" customFormat="false" ht="15" hidden="false" customHeight="false" outlineLevel="0" collapsed="false">
      <c r="A127" s="2" t="s">
        <v>284</v>
      </c>
      <c r="B127" s="2" t="s">
        <v>44</v>
      </c>
      <c r="C127" s="2" t="n">
        <v>2009</v>
      </c>
      <c r="D127" s="2" t="s">
        <v>210</v>
      </c>
      <c r="E127" s="2" t="s">
        <v>31</v>
      </c>
      <c r="F127" s="2" t="n">
        <v>57</v>
      </c>
      <c r="G127" s="2" t="s">
        <v>285</v>
      </c>
      <c r="H127" s="2" t="n">
        <v>47.79</v>
      </c>
      <c r="I127" s="2" t="n">
        <v>0.0863</v>
      </c>
      <c r="J127" s="2" t="n">
        <v>33.43</v>
      </c>
      <c r="K127" s="2" t="n">
        <v>0.7199</v>
      </c>
      <c r="L127" s="2" t="n">
        <v>0.2482</v>
      </c>
      <c r="M127" s="2" t="n">
        <v>16.41</v>
      </c>
      <c r="N127" s="2" t="n">
        <v>2.15</v>
      </c>
      <c r="O127" s="2" t="n">
        <v>0.0436</v>
      </c>
      <c r="P127" s="2" t="n">
        <v>100.88</v>
      </c>
      <c r="Q127" s="2" t="n">
        <v>2.92050934710792</v>
      </c>
      <c r="R127" s="2" t="n">
        <v>2.17876093358881</v>
      </c>
      <c r="S127" s="2" t="n">
        <v>0.00295995893674327</v>
      </c>
      <c r="T127" s="2" t="n">
        <v>1.79623714253108</v>
      </c>
      <c r="U127" s="2" t="n">
        <v>0.0274481485725368</v>
      </c>
      <c r="V127" s="2" t="n">
        <v>0.016868832016846</v>
      </c>
      <c r="W127" s="2" t="n">
        <v>0.801595362064557</v>
      </c>
      <c r="X127" s="2" t="n">
        <v>0.19004448766529</v>
      </c>
      <c r="Y127" s="2" t="n">
        <v>0.00253582933140383</v>
      </c>
      <c r="Z127" s="2" t="n">
        <v>80.6291462311231</v>
      </c>
      <c r="AA127" s="2" t="n">
        <v>19.1157852347323</v>
      </c>
      <c r="AB127" s="2" t="n">
        <v>0.255068534144618</v>
      </c>
    </row>
    <row r="128" customFormat="false" ht="15" hidden="false" customHeight="false" outlineLevel="0" collapsed="false">
      <c r="A128" s="2" t="s">
        <v>286</v>
      </c>
      <c r="B128" s="2" t="s">
        <v>44</v>
      </c>
      <c r="C128" s="2" t="n">
        <v>2009</v>
      </c>
      <c r="D128" s="2" t="s">
        <v>210</v>
      </c>
      <c r="E128" s="2" t="s">
        <v>31</v>
      </c>
      <c r="F128" s="2" t="n">
        <v>58</v>
      </c>
      <c r="G128" s="2" t="s">
        <v>287</v>
      </c>
      <c r="H128" s="2" t="n">
        <v>48.44</v>
      </c>
      <c r="I128" s="2" t="n">
        <v>0.0671</v>
      </c>
      <c r="J128" s="2" t="n">
        <v>33.2</v>
      </c>
      <c r="K128" s="2" t="n">
        <v>0.5782</v>
      </c>
      <c r="L128" s="2" t="n">
        <v>0.1724</v>
      </c>
      <c r="M128" s="2" t="n">
        <v>16.04</v>
      </c>
      <c r="N128" s="2" t="n">
        <v>2.37</v>
      </c>
      <c r="O128" s="2" t="n">
        <v>0.0496</v>
      </c>
      <c r="P128" s="2" t="n">
        <v>100.92</v>
      </c>
      <c r="Q128" s="2" t="n">
        <v>2.9280597990533</v>
      </c>
      <c r="R128" s="2" t="n">
        <v>2.20269995056368</v>
      </c>
      <c r="S128" s="2" t="n">
        <v>0.00229549350981338</v>
      </c>
      <c r="T128" s="2" t="n">
        <v>1.77927893915469</v>
      </c>
      <c r="U128" s="2" t="n">
        <v>0.0219886024897445</v>
      </c>
      <c r="V128" s="2" t="n">
        <v>0.0116868953817598</v>
      </c>
      <c r="W128" s="2" t="n">
        <v>0.781501178413845</v>
      </c>
      <c r="X128" s="2" t="n">
        <v>0.208950695891997</v>
      </c>
      <c r="Y128" s="2" t="n">
        <v>0.00287735777926447</v>
      </c>
      <c r="Z128" s="2" t="n">
        <v>78.6749401075602</v>
      </c>
      <c r="AA128" s="2" t="n">
        <v>21.0353918059359</v>
      </c>
      <c r="AB128" s="2" t="n">
        <v>0.289668086503866</v>
      </c>
    </row>
    <row r="129" customFormat="false" ht="15" hidden="false" customHeight="false" outlineLevel="0" collapsed="false">
      <c r="A129" s="2" t="s">
        <v>288</v>
      </c>
      <c r="B129" s="2" t="s">
        <v>44</v>
      </c>
      <c r="C129" s="2" t="n">
        <v>2009</v>
      </c>
      <c r="D129" s="2" t="s">
        <v>210</v>
      </c>
      <c r="E129" s="2" t="s">
        <v>31</v>
      </c>
      <c r="F129" s="2" t="n">
        <v>59</v>
      </c>
      <c r="G129" s="2" t="s">
        <v>289</v>
      </c>
      <c r="H129" s="2" t="n">
        <v>48.04</v>
      </c>
      <c r="I129" s="2" t="n">
        <v>0.0534</v>
      </c>
      <c r="J129" s="2" t="n">
        <v>33.23</v>
      </c>
      <c r="K129" s="2" t="n">
        <v>0.5956</v>
      </c>
      <c r="L129" s="2" t="n">
        <v>0.1715</v>
      </c>
      <c r="M129" s="2" t="n">
        <v>16.38</v>
      </c>
      <c r="N129" s="2" t="n">
        <v>2.2</v>
      </c>
      <c r="O129" s="2" t="n">
        <v>0.0374</v>
      </c>
      <c r="P129" s="2" t="n">
        <v>100.71</v>
      </c>
      <c r="Q129" s="2" t="n">
        <v>2.91869528765912</v>
      </c>
      <c r="R129" s="2" t="n">
        <v>2.1915197624821</v>
      </c>
      <c r="S129" s="2" t="n">
        <v>0.00183267725987209</v>
      </c>
      <c r="T129" s="2" t="n">
        <v>1.78660062166764</v>
      </c>
      <c r="U129" s="2" t="n">
        <v>0.0227229867351557</v>
      </c>
      <c r="V129" s="2" t="n">
        <v>0.0116631860710593</v>
      </c>
      <c r="W129" s="2" t="n">
        <v>0.800627228155063</v>
      </c>
      <c r="X129" s="2" t="n">
        <v>0.194584992386454</v>
      </c>
      <c r="Y129" s="2" t="n">
        <v>0.00217658172018728</v>
      </c>
      <c r="Z129" s="2" t="n">
        <v>80.2723297413747</v>
      </c>
      <c r="AA129" s="2" t="n">
        <v>19.5094422501244</v>
      </c>
      <c r="AB129" s="2" t="n">
        <v>0.218228008500959</v>
      </c>
    </row>
    <row r="130" customFormat="false" ht="15" hidden="false" customHeight="false" outlineLevel="0" collapsed="false">
      <c r="A130" s="2" t="s">
        <v>290</v>
      </c>
      <c r="B130" s="2" t="s">
        <v>44</v>
      </c>
      <c r="C130" s="2" t="n">
        <v>2009</v>
      </c>
      <c r="D130" s="2" t="s">
        <v>210</v>
      </c>
      <c r="E130" s="2" t="s">
        <v>31</v>
      </c>
      <c r="F130" s="2" t="n">
        <v>60</v>
      </c>
      <c r="G130" s="2" t="s">
        <v>291</v>
      </c>
      <c r="H130" s="2" t="n">
        <v>48.96</v>
      </c>
      <c r="I130" s="2" t="n">
        <v>0.0847</v>
      </c>
      <c r="J130" s="2" t="n">
        <v>31.93</v>
      </c>
      <c r="K130" s="2" t="n">
        <v>0.6749</v>
      </c>
      <c r="L130" s="2" t="n">
        <v>0.2035</v>
      </c>
      <c r="M130" s="2" t="n">
        <v>14.94</v>
      </c>
      <c r="N130" s="2" t="n">
        <v>2.88</v>
      </c>
      <c r="O130" s="2" t="n">
        <v>0.0608</v>
      </c>
      <c r="P130" s="2" t="n">
        <v>99.72</v>
      </c>
      <c r="Q130" s="2" t="n">
        <v>2.89929163268467</v>
      </c>
      <c r="R130" s="2" t="n">
        <v>2.24843665380288</v>
      </c>
      <c r="S130" s="2" t="n">
        <v>0.00292634145174381</v>
      </c>
      <c r="T130" s="2" t="n">
        <v>1.72819567043282</v>
      </c>
      <c r="U130" s="2" t="n">
        <v>0.0259207168962129</v>
      </c>
      <c r="V130" s="2" t="n">
        <v>0.0139320283082505</v>
      </c>
      <c r="W130" s="2" t="n">
        <v>0.735129600966782</v>
      </c>
      <c r="X130" s="2" t="n">
        <v>0.256434234189555</v>
      </c>
      <c r="Y130" s="2" t="n">
        <v>0.00356208115099119</v>
      </c>
      <c r="Z130" s="2" t="n">
        <v>73.8730233953378</v>
      </c>
      <c r="AA130" s="2" t="n">
        <v>25.7690237976235</v>
      </c>
      <c r="AB130" s="2" t="n">
        <v>0.357952807038653</v>
      </c>
    </row>
    <row r="131" customFormat="false" ht="15" hidden="false" customHeight="false" outlineLevel="0" collapsed="false">
      <c r="A131" s="2" t="s">
        <v>292</v>
      </c>
      <c r="B131" s="2" t="s">
        <v>44</v>
      </c>
      <c r="C131" s="2" t="n">
        <v>2009</v>
      </c>
      <c r="D131" s="2" t="s">
        <v>210</v>
      </c>
      <c r="E131" s="2" t="s">
        <v>31</v>
      </c>
      <c r="F131" s="2" t="n">
        <v>61</v>
      </c>
      <c r="G131" s="2" t="s">
        <v>293</v>
      </c>
      <c r="H131" s="2" t="n">
        <v>51.68</v>
      </c>
      <c r="I131" s="2" t="n">
        <v>0.1474</v>
      </c>
      <c r="J131" s="2" t="n">
        <v>30.24</v>
      </c>
      <c r="K131" s="2" t="n">
        <v>0.8787</v>
      </c>
      <c r="L131" s="2" t="n">
        <v>0.2103</v>
      </c>
      <c r="M131" s="2" t="n">
        <v>13.3</v>
      </c>
      <c r="N131" s="2" t="n">
        <v>3.94</v>
      </c>
      <c r="O131" s="2" t="n">
        <v>0.1007</v>
      </c>
      <c r="P131" s="2" t="n">
        <v>100.5</v>
      </c>
      <c r="Q131" s="2" t="n">
        <v>2.93296287241895</v>
      </c>
      <c r="R131" s="2" t="n">
        <v>2.34610307715329</v>
      </c>
      <c r="S131" s="2" t="n">
        <v>0.00503412979899996</v>
      </c>
      <c r="T131" s="2" t="n">
        <v>1.61793517829732</v>
      </c>
      <c r="U131" s="2" t="n">
        <v>0.0333605762527086</v>
      </c>
      <c r="V131" s="2" t="n">
        <v>0.0142322821246984</v>
      </c>
      <c r="W131" s="2" t="n">
        <v>0.646919572387959</v>
      </c>
      <c r="X131" s="2" t="n">
        <v>0.346788809043738</v>
      </c>
      <c r="Y131" s="2" t="n">
        <v>0.0058319667244163</v>
      </c>
      <c r="Z131" s="2" t="n">
        <v>64.7217066906157</v>
      </c>
      <c r="AA131" s="2" t="n">
        <v>34.6948284462425</v>
      </c>
      <c r="AB131" s="2" t="n">
        <v>0.583464863141816</v>
      </c>
    </row>
    <row r="132" customFormat="false" ht="15" hidden="false" customHeight="false" outlineLevel="0" collapsed="false">
      <c r="A132" s="2" t="s">
        <v>294</v>
      </c>
      <c r="B132" s="2" t="s">
        <v>44</v>
      </c>
      <c r="C132" s="2" t="n">
        <v>2009</v>
      </c>
      <c r="D132" s="2" t="s">
        <v>210</v>
      </c>
      <c r="E132" s="2" t="s">
        <v>31</v>
      </c>
      <c r="F132" s="2" t="n">
        <v>62</v>
      </c>
      <c r="G132" s="2" t="s">
        <v>295</v>
      </c>
      <c r="H132" s="2" t="n">
        <v>49.92</v>
      </c>
      <c r="I132" s="2" t="n">
        <v>0.086</v>
      </c>
      <c r="J132" s="2" t="n">
        <v>31.54</v>
      </c>
      <c r="K132" s="2" t="n">
        <v>0.6287</v>
      </c>
      <c r="L132" s="2" t="n">
        <v>0.1864</v>
      </c>
      <c r="M132" s="2" t="n">
        <v>14.21</v>
      </c>
      <c r="N132" s="2" t="n">
        <v>3.27</v>
      </c>
      <c r="O132" s="2" t="n">
        <v>0.0699</v>
      </c>
      <c r="P132" s="2" t="n">
        <v>99.9</v>
      </c>
      <c r="Q132" s="2" t="n">
        <v>2.91210838626353</v>
      </c>
      <c r="R132" s="2" t="n">
        <v>2.28243380599227</v>
      </c>
      <c r="S132" s="2" t="n">
        <v>0.00295817871061226</v>
      </c>
      <c r="T132" s="2" t="n">
        <v>1.69957388939751</v>
      </c>
      <c r="U132" s="2" t="n">
        <v>0.0240400522983876</v>
      </c>
      <c r="V132" s="2" t="n">
        <v>0.0127051620831611</v>
      </c>
      <c r="W132" s="2" t="n">
        <v>0.696132256704863</v>
      </c>
      <c r="X132" s="2" t="n">
        <v>0.28987825310087</v>
      </c>
      <c r="Y132" s="2" t="n">
        <v>0.00407719772227605</v>
      </c>
      <c r="Z132" s="2" t="n">
        <v>70.3101605455666</v>
      </c>
      <c r="AA132" s="2" t="n">
        <v>29.2780377836041</v>
      </c>
      <c r="AB132" s="2" t="n">
        <v>0.41180167082932</v>
      </c>
    </row>
    <row r="133" customFormat="false" ht="15" hidden="false" customHeight="false" outlineLevel="0" collapsed="false">
      <c r="A133" s="2" t="s">
        <v>296</v>
      </c>
      <c r="B133" s="2" t="s">
        <v>44</v>
      </c>
      <c r="C133" s="2" t="n">
        <v>2009</v>
      </c>
      <c r="D133" s="2" t="s">
        <v>210</v>
      </c>
      <c r="E133" s="2" t="s">
        <v>31</v>
      </c>
      <c r="F133" s="2" t="n">
        <v>63</v>
      </c>
      <c r="G133" s="2" t="s">
        <v>297</v>
      </c>
      <c r="H133" s="2" t="n">
        <v>47.96</v>
      </c>
      <c r="I133" s="2" t="n">
        <v>0.0618</v>
      </c>
      <c r="J133" s="2" t="n">
        <v>32.98</v>
      </c>
      <c r="K133" s="2" t="n">
        <v>0.6661</v>
      </c>
      <c r="L133" s="2" t="n">
        <v>0.1557</v>
      </c>
      <c r="M133" s="2" t="n">
        <v>15.93</v>
      </c>
      <c r="N133" s="2" t="n">
        <v>2.32</v>
      </c>
      <c r="O133" s="2" t="n">
        <v>0.0458</v>
      </c>
      <c r="P133" s="2" t="n">
        <v>100.12</v>
      </c>
      <c r="Q133" s="2" t="n">
        <v>2.90347685858575</v>
      </c>
      <c r="R133" s="2" t="n">
        <v>2.19933788363927</v>
      </c>
      <c r="S133" s="2" t="n">
        <v>0.0021320804951339</v>
      </c>
      <c r="T133" s="2" t="n">
        <v>1.78245337614582</v>
      </c>
      <c r="U133" s="2" t="n">
        <v>0.0255458611611321</v>
      </c>
      <c r="V133" s="2" t="n">
        <v>0.0106441768214564</v>
      </c>
      <c r="W133" s="2" t="n">
        <v>0.782713135276324</v>
      </c>
      <c r="X133" s="2" t="n">
        <v>0.206274258091581</v>
      </c>
      <c r="Y133" s="2" t="n">
        <v>0.00267941041555129</v>
      </c>
      <c r="Z133" s="2" t="n">
        <v>78.9290447446741</v>
      </c>
      <c r="AA133" s="2" t="n">
        <v>20.8007626457388</v>
      </c>
      <c r="AB133" s="2" t="n">
        <v>0.270192609587078</v>
      </c>
    </row>
    <row r="134" customFormat="false" ht="15" hidden="false" customHeight="false" outlineLevel="0" collapsed="false">
      <c r="A134" s="2" t="s">
        <v>298</v>
      </c>
      <c r="B134" s="2" t="s">
        <v>44</v>
      </c>
      <c r="C134" s="2" t="n">
        <v>2009</v>
      </c>
      <c r="D134" s="2" t="s">
        <v>210</v>
      </c>
      <c r="E134" s="2" t="s">
        <v>31</v>
      </c>
      <c r="F134" s="2" t="n">
        <v>64</v>
      </c>
      <c r="G134" s="2" t="s">
        <v>299</v>
      </c>
      <c r="H134" s="2" t="n">
        <v>50.45</v>
      </c>
      <c r="I134" s="2" t="n">
        <v>0.11</v>
      </c>
      <c r="J134" s="2" t="n">
        <v>31.13</v>
      </c>
      <c r="K134" s="2" t="n">
        <v>0.7297</v>
      </c>
      <c r="L134" s="2" t="n">
        <v>0.2054</v>
      </c>
      <c r="M134" s="2" t="n">
        <v>14.06</v>
      </c>
      <c r="N134" s="2" t="n">
        <v>3.42</v>
      </c>
      <c r="O134" s="2" t="n">
        <v>0.069</v>
      </c>
      <c r="P134" s="2" t="n">
        <v>100.18</v>
      </c>
      <c r="Q134" s="2" t="n">
        <v>2.91990089980311</v>
      </c>
      <c r="R134" s="2" t="n">
        <v>2.30051043842645</v>
      </c>
      <c r="S134" s="2" t="n">
        <v>0.00377361912450889</v>
      </c>
      <c r="T134" s="2" t="n">
        <v>1.67300371436587</v>
      </c>
      <c r="U134" s="2" t="n">
        <v>0.0278275977596896</v>
      </c>
      <c r="V134" s="2" t="n">
        <v>0.0139628529469727</v>
      </c>
      <c r="W134" s="2" t="n">
        <v>0.686945723135132</v>
      </c>
      <c r="X134" s="2" t="n">
        <v>0.302366318361746</v>
      </c>
      <c r="Y134" s="2" t="n">
        <v>0.00401396065321828</v>
      </c>
      <c r="Z134" s="2" t="n">
        <v>69.156120110438</v>
      </c>
      <c r="AA134" s="2" t="n">
        <v>30.4397869085538</v>
      </c>
      <c r="AB134" s="2" t="n">
        <v>0.404092981008238</v>
      </c>
    </row>
    <row r="135" customFormat="false" ht="15" hidden="false" customHeight="false" outlineLevel="0" collapsed="false">
      <c r="A135" s="2" t="s">
        <v>300</v>
      </c>
      <c r="B135" s="2" t="s">
        <v>44</v>
      </c>
      <c r="C135" s="2" t="n">
        <v>2009</v>
      </c>
      <c r="D135" s="2" t="s">
        <v>210</v>
      </c>
      <c r="E135" s="2" t="s">
        <v>31</v>
      </c>
      <c r="F135" s="2" t="n">
        <v>65</v>
      </c>
      <c r="G135" s="2" t="s">
        <v>301</v>
      </c>
      <c r="H135" s="2" t="n">
        <v>51.41</v>
      </c>
      <c r="I135" s="2" t="n">
        <v>0.1452</v>
      </c>
      <c r="J135" s="2" t="n">
        <v>30.32</v>
      </c>
      <c r="K135" s="2" t="n">
        <v>0.8429</v>
      </c>
      <c r="L135" s="2" t="n">
        <v>0.169</v>
      </c>
      <c r="M135" s="2" t="n">
        <v>13.24</v>
      </c>
      <c r="N135" s="2" t="n">
        <v>3.91</v>
      </c>
      <c r="O135" s="2" t="n">
        <v>0.1001</v>
      </c>
      <c r="P135" s="2" t="n">
        <v>100.15</v>
      </c>
      <c r="Q135" s="2" t="n">
        <v>2.92319082688519</v>
      </c>
      <c r="R135" s="2" t="n">
        <v>2.34164786189852</v>
      </c>
      <c r="S135" s="2" t="n">
        <v>0.00497557114099162</v>
      </c>
      <c r="T135" s="2" t="n">
        <v>1.62763839560691</v>
      </c>
      <c r="U135" s="2" t="n">
        <v>0.0321083781729729</v>
      </c>
      <c r="V135" s="2" t="n">
        <v>0.0114754935784568</v>
      </c>
      <c r="W135" s="2" t="n">
        <v>0.646153994067989</v>
      </c>
      <c r="X135" s="2" t="n">
        <v>0.345298751477808</v>
      </c>
      <c r="Y135" s="2" t="n">
        <v>0.00581659790456482</v>
      </c>
      <c r="Z135" s="2" t="n">
        <v>64.7923249934085</v>
      </c>
      <c r="AA135" s="2" t="n">
        <v>34.6244225540053</v>
      </c>
      <c r="AB135" s="2" t="n">
        <v>0.583252452586229</v>
      </c>
    </row>
    <row r="136" customFormat="false" ht="15" hidden="false" customHeight="false" outlineLevel="0" collapsed="false">
      <c r="A136" s="2" t="s">
        <v>302</v>
      </c>
      <c r="B136" s="2" t="s">
        <v>29</v>
      </c>
      <c r="C136" s="2" t="n">
        <v>2009</v>
      </c>
      <c r="D136" s="2" t="s">
        <v>210</v>
      </c>
      <c r="E136" s="2" t="s">
        <v>31</v>
      </c>
      <c r="F136" s="2" t="n">
        <v>73</v>
      </c>
      <c r="G136" s="2" t="s">
        <v>303</v>
      </c>
      <c r="H136" s="2" t="n">
        <v>46.21</v>
      </c>
      <c r="I136" s="2" t="n">
        <v>0.0396</v>
      </c>
      <c r="J136" s="2" t="n">
        <v>31.95</v>
      </c>
      <c r="K136" s="2" t="n">
        <v>0.5389</v>
      </c>
      <c r="L136" s="2" t="n">
        <v>0.1744</v>
      </c>
      <c r="M136" s="2" t="n">
        <v>15.19</v>
      </c>
      <c r="N136" s="2" t="n">
        <v>2.21</v>
      </c>
      <c r="O136" s="2" t="n">
        <v>0.0411</v>
      </c>
      <c r="P136" s="2" t="n">
        <v>96.36</v>
      </c>
      <c r="Q136" s="2" t="n">
        <v>2.79803607332035</v>
      </c>
      <c r="R136" s="2" t="n">
        <v>2.19894217399981</v>
      </c>
      <c r="S136" s="2" t="n">
        <v>0.00141767071325611</v>
      </c>
      <c r="T136" s="2" t="n">
        <v>1.79185742086505</v>
      </c>
      <c r="U136" s="2" t="n">
        <v>0.0214463977925101</v>
      </c>
      <c r="V136" s="2" t="n">
        <v>0.012371860321203</v>
      </c>
      <c r="W136" s="2" t="n">
        <v>0.774479059682493</v>
      </c>
      <c r="X136" s="2" t="n">
        <v>0.203898664965194</v>
      </c>
      <c r="Y136" s="2" t="n">
        <v>0.0024950579950112</v>
      </c>
      <c r="Z136" s="2" t="n">
        <v>78.9581557759068</v>
      </c>
      <c r="AA136" s="2" t="n">
        <v>20.787473011112</v>
      </c>
      <c r="AB136" s="2" t="n">
        <v>0.254371212981252</v>
      </c>
    </row>
    <row r="137" customFormat="false" ht="15" hidden="false" customHeight="false" outlineLevel="0" collapsed="false">
      <c r="A137" s="2" t="s">
        <v>304</v>
      </c>
      <c r="B137" s="2" t="s">
        <v>29</v>
      </c>
      <c r="C137" s="2" t="n">
        <v>2009</v>
      </c>
      <c r="D137" s="2" t="s">
        <v>210</v>
      </c>
      <c r="E137" s="2" t="s">
        <v>31</v>
      </c>
      <c r="F137" s="2" t="n">
        <v>75</v>
      </c>
      <c r="G137" s="2" t="s">
        <v>305</v>
      </c>
      <c r="H137" s="2" t="n">
        <v>46.5</v>
      </c>
      <c r="I137" s="2" t="n">
        <v>0.0598</v>
      </c>
      <c r="J137" s="2" t="n">
        <v>31.73</v>
      </c>
      <c r="K137" s="2" t="n">
        <v>0.5254</v>
      </c>
      <c r="L137" s="2" t="n">
        <v>0.1491</v>
      </c>
      <c r="M137" s="2" t="n">
        <v>14.77</v>
      </c>
      <c r="N137" s="2" t="n">
        <v>2.36</v>
      </c>
      <c r="O137" s="2" t="n">
        <v>0.0497</v>
      </c>
      <c r="P137" s="2" t="n">
        <v>96.13</v>
      </c>
      <c r="Q137" s="2" t="n">
        <v>2.79592815245993</v>
      </c>
      <c r="R137" s="2" t="n">
        <v>2.21441031292728</v>
      </c>
      <c r="S137" s="2" t="n">
        <v>0.00214243999886017</v>
      </c>
      <c r="T137" s="2" t="n">
        <v>1.78086074692325</v>
      </c>
      <c r="U137" s="2" t="n">
        <v>0.0209249073720978</v>
      </c>
      <c r="V137" s="2" t="n">
        <v>0.0105850636346405</v>
      </c>
      <c r="W137" s="2" t="n">
        <v>0.753632646778575</v>
      </c>
      <c r="X137" s="2" t="n">
        <v>0.217902099001578</v>
      </c>
      <c r="Y137" s="2" t="n">
        <v>0.00301941295348693</v>
      </c>
      <c r="Z137" s="2" t="n">
        <v>77.3310174734531</v>
      </c>
      <c r="AA137" s="2" t="n">
        <v>22.3591574720409</v>
      </c>
      <c r="AB137" s="2" t="n">
        <v>0.309825054505994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9"/>
    <col collapsed="false" customWidth="true" hidden="false" outlineLevel="0" max="6" min="6" style="0" width="8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4" min="14" style="0" width="9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306</v>
      </c>
      <c r="F1" s="1" t="s">
        <v>5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314</v>
      </c>
    </row>
    <row r="2" customFormat="false" ht="15" hidden="false" customHeight="false" outlineLevel="0" collapsed="false">
      <c r="A2" s="2" t="s">
        <v>28</v>
      </c>
      <c r="B2" s="2" t="n">
        <v>2009</v>
      </c>
      <c r="C2" s="2" t="s">
        <v>30</v>
      </c>
      <c r="D2" s="2" t="s">
        <v>31</v>
      </c>
      <c r="E2" s="2" t="s">
        <v>315</v>
      </c>
      <c r="F2" s="2" t="n">
        <v>178</v>
      </c>
      <c r="G2" s="2" t="n">
        <v>0.14</v>
      </c>
      <c r="H2" s="2" t="n">
        <v>8.08</v>
      </c>
      <c r="I2" s="2" t="n">
        <v>0.17</v>
      </c>
      <c r="J2" s="2" t="n">
        <v>1.31</v>
      </c>
      <c r="K2" s="2" t="n">
        <v>5.57</v>
      </c>
      <c r="L2" s="2" t="n">
        <v>0.2</v>
      </c>
      <c r="M2" s="2" t="n">
        <v>0.71</v>
      </c>
      <c r="N2" s="2" t="n">
        <v>9.32</v>
      </c>
    </row>
    <row r="3" customFormat="false" ht="15" hidden="false" customHeight="false" outlineLevel="0" collapsed="false">
      <c r="A3" s="2" t="s">
        <v>33</v>
      </c>
      <c r="B3" s="2" t="n">
        <v>2009</v>
      </c>
      <c r="C3" s="2" t="s">
        <v>30</v>
      </c>
      <c r="D3" s="2" t="s">
        <v>31</v>
      </c>
      <c r="E3" s="2" t="s">
        <v>316</v>
      </c>
      <c r="F3" s="2" t="n">
        <v>181</v>
      </c>
      <c r="G3" s="2" t="n">
        <v>0.14</v>
      </c>
      <c r="H3" s="2" t="n">
        <v>9.43</v>
      </c>
      <c r="I3" s="2" t="n">
        <v>0.17</v>
      </c>
      <c r="J3" s="2" t="n">
        <v>1.44</v>
      </c>
      <c r="K3" s="2" t="n">
        <v>4.45</v>
      </c>
      <c r="L3" s="2" t="n">
        <v>0.2</v>
      </c>
      <c r="M3" s="2" t="n">
        <v>0.77</v>
      </c>
      <c r="N3" s="2" t="n">
        <v>12.95</v>
      </c>
    </row>
    <row r="4" customFormat="false" ht="15" hidden="false" customHeight="false" outlineLevel="0" collapsed="false">
      <c r="A4" s="2" t="s">
        <v>35</v>
      </c>
      <c r="B4" s="2" t="n">
        <v>2009</v>
      </c>
      <c r="C4" s="2" t="s">
        <v>30</v>
      </c>
      <c r="D4" s="2" t="s">
        <v>31</v>
      </c>
      <c r="E4" s="2" t="s">
        <v>317</v>
      </c>
      <c r="F4" s="2" t="n">
        <v>182</v>
      </c>
      <c r="G4" s="2" t="n">
        <v>0.14</v>
      </c>
      <c r="H4" s="2" t="n">
        <v>8.74</v>
      </c>
      <c r="I4" s="2" t="n">
        <v>0.17</v>
      </c>
      <c r="J4" s="2" t="n">
        <v>1.27</v>
      </c>
      <c r="K4" s="2" t="n">
        <v>4.52</v>
      </c>
      <c r="L4" s="2" t="n">
        <v>0.2</v>
      </c>
      <c r="M4" s="2" t="n">
        <v>0.76</v>
      </c>
      <c r="N4" s="2" t="n">
        <v>10.71</v>
      </c>
    </row>
    <row r="5" customFormat="false" ht="15" hidden="false" customHeight="false" outlineLevel="0" collapsed="false">
      <c r="A5" s="2" t="s">
        <v>37</v>
      </c>
      <c r="B5" s="2" t="n">
        <v>2009</v>
      </c>
      <c r="C5" s="2" t="s">
        <v>30</v>
      </c>
      <c r="D5" s="2" t="s">
        <v>31</v>
      </c>
      <c r="E5" s="2" t="s">
        <v>318</v>
      </c>
      <c r="F5" s="2" t="n">
        <v>183</v>
      </c>
      <c r="G5" s="2" t="n">
        <v>0.14</v>
      </c>
      <c r="H5" s="2" t="n">
        <v>5.04</v>
      </c>
      <c r="I5" s="2" t="n">
        <v>0.17</v>
      </c>
      <c r="J5" s="2" t="n">
        <v>1.02</v>
      </c>
      <c r="K5" s="2" t="n">
        <v>3.8</v>
      </c>
      <c r="L5" s="2" t="n">
        <v>0.22</v>
      </c>
      <c r="M5" s="2" t="n">
        <v>0.55</v>
      </c>
      <c r="N5" s="2" t="n">
        <v>6.41</v>
      </c>
    </row>
    <row r="6" customFormat="false" ht="15" hidden="false" customHeight="false" outlineLevel="0" collapsed="false">
      <c r="A6" s="2" t="s">
        <v>39</v>
      </c>
      <c r="B6" s="2" t="n">
        <v>2009</v>
      </c>
      <c r="C6" s="2" t="s">
        <v>30</v>
      </c>
      <c r="D6" s="2" t="s">
        <v>31</v>
      </c>
      <c r="E6" s="2" t="s">
        <v>319</v>
      </c>
      <c r="F6" s="2" t="n">
        <v>184</v>
      </c>
      <c r="G6" s="2" t="n">
        <v>0.14</v>
      </c>
      <c r="H6" s="2" t="n">
        <v>4.9</v>
      </c>
      <c r="I6" s="2" t="n">
        <v>0.17</v>
      </c>
      <c r="J6" s="2" t="n">
        <v>1.13</v>
      </c>
      <c r="K6" s="2" t="n">
        <v>4.11</v>
      </c>
      <c r="L6" s="2" t="n">
        <v>0.22</v>
      </c>
      <c r="M6" s="2" t="n">
        <v>0.54</v>
      </c>
      <c r="N6" s="2" t="n">
        <v>6.67</v>
      </c>
    </row>
    <row r="7" customFormat="false" ht="15" hidden="false" customHeight="false" outlineLevel="0" collapsed="false">
      <c r="A7" s="2" t="s">
        <v>41</v>
      </c>
      <c r="B7" s="2" t="n">
        <v>2009</v>
      </c>
      <c r="C7" s="2" t="s">
        <v>30</v>
      </c>
      <c r="D7" s="2" t="s">
        <v>31</v>
      </c>
      <c r="E7" s="2" t="s">
        <v>320</v>
      </c>
      <c r="F7" s="2" t="n">
        <v>185</v>
      </c>
      <c r="G7" s="2" t="n">
        <v>0.14</v>
      </c>
      <c r="H7" s="2" t="n">
        <v>11.56</v>
      </c>
      <c r="I7" s="2" t="n">
        <v>0.17</v>
      </c>
      <c r="J7" s="2" t="n">
        <v>1.39</v>
      </c>
      <c r="K7" s="2" t="n">
        <v>4.48</v>
      </c>
      <c r="L7" s="2" t="n">
        <v>0.2</v>
      </c>
      <c r="M7" s="2" t="n">
        <v>0.79</v>
      </c>
      <c r="N7" s="2" t="n">
        <v>12.91</v>
      </c>
    </row>
    <row r="8" customFormat="false" ht="15" hidden="false" customHeight="false" outlineLevel="0" collapsed="false">
      <c r="A8" s="2" t="s">
        <v>43</v>
      </c>
      <c r="B8" s="2" t="n">
        <v>2009</v>
      </c>
      <c r="C8" s="2" t="s">
        <v>30</v>
      </c>
      <c r="D8" s="2" t="s">
        <v>31</v>
      </c>
      <c r="E8" s="2" t="s">
        <v>321</v>
      </c>
      <c r="F8" s="2" t="n">
        <v>186</v>
      </c>
      <c r="G8" s="2" t="n">
        <v>0.15</v>
      </c>
      <c r="H8" s="2" t="n">
        <v>9.99</v>
      </c>
      <c r="I8" s="2" t="n">
        <v>0.17</v>
      </c>
      <c r="J8" s="2" t="n">
        <v>1.28</v>
      </c>
      <c r="K8" s="2" t="n">
        <v>5.44</v>
      </c>
      <c r="L8" s="2" t="n">
        <v>0.2</v>
      </c>
      <c r="M8" s="2" t="n">
        <v>0.83</v>
      </c>
      <c r="N8" s="2" t="n">
        <v>12.7</v>
      </c>
    </row>
    <row r="9" customFormat="false" ht="15" hidden="false" customHeight="false" outlineLevel="0" collapsed="false">
      <c r="A9" s="2" t="s">
        <v>46</v>
      </c>
      <c r="B9" s="2" t="n">
        <v>2009</v>
      </c>
      <c r="C9" s="2" t="s">
        <v>30</v>
      </c>
      <c r="D9" s="2" t="s">
        <v>31</v>
      </c>
      <c r="E9" s="2" t="s">
        <v>322</v>
      </c>
      <c r="F9" s="2" t="n">
        <v>187</v>
      </c>
      <c r="G9" s="2" t="n">
        <v>0.14</v>
      </c>
      <c r="H9" s="2" t="n">
        <v>8.21</v>
      </c>
      <c r="I9" s="2" t="n">
        <v>0.17</v>
      </c>
      <c r="J9" s="2" t="n">
        <v>1.26</v>
      </c>
      <c r="K9" s="2" t="n">
        <v>4.67</v>
      </c>
      <c r="L9" s="2" t="n">
        <v>0.2</v>
      </c>
      <c r="M9" s="2" t="n">
        <v>0.77</v>
      </c>
      <c r="N9" s="2" t="n">
        <v>15.91</v>
      </c>
    </row>
    <row r="10" customFormat="false" ht="15" hidden="false" customHeight="false" outlineLevel="0" collapsed="false">
      <c r="A10" s="2" t="s">
        <v>48</v>
      </c>
      <c r="B10" s="2" t="n">
        <v>2009</v>
      </c>
      <c r="C10" s="2" t="s">
        <v>30</v>
      </c>
      <c r="D10" s="2" t="s">
        <v>31</v>
      </c>
      <c r="E10" s="2" t="s">
        <v>323</v>
      </c>
      <c r="F10" s="2" t="n">
        <v>188</v>
      </c>
      <c r="G10" s="2" t="n">
        <v>0.14</v>
      </c>
      <c r="H10" s="2" t="n">
        <v>9.33</v>
      </c>
      <c r="I10" s="2" t="n">
        <v>0.17</v>
      </c>
      <c r="J10" s="2" t="n">
        <v>1.31</v>
      </c>
      <c r="K10" s="2" t="n">
        <v>5</v>
      </c>
      <c r="L10" s="2" t="n">
        <v>0.2</v>
      </c>
      <c r="M10" s="2" t="n">
        <v>0.82</v>
      </c>
      <c r="N10" s="2" t="n">
        <v>13.35</v>
      </c>
    </row>
    <row r="11" customFormat="false" ht="15" hidden="false" customHeight="false" outlineLevel="0" collapsed="false">
      <c r="A11" s="2" t="s">
        <v>50</v>
      </c>
      <c r="B11" s="2" t="n">
        <v>2009</v>
      </c>
      <c r="C11" s="2" t="s">
        <v>30</v>
      </c>
      <c r="D11" s="2" t="s">
        <v>31</v>
      </c>
      <c r="E11" s="2" t="s">
        <v>324</v>
      </c>
      <c r="F11" s="2" t="n">
        <v>189</v>
      </c>
      <c r="G11" s="2" t="n">
        <v>0.14</v>
      </c>
      <c r="H11" s="2" t="n">
        <v>9.08</v>
      </c>
      <c r="I11" s="2" t="n">
        <v>0.17</v>
      </c>
      <c r="J11" s="2" t="n">
        <v>1.25</v>
      </c>
      <c r="K11" s="2" t="n">
        <v>4.59</v>
      </c>
      <c r="L11" s="2" t="n">
        <v>0.2</v>
      </c>
      <c r="M11" s="2" t="n">
        <v>0.77</v>
      </c>
      <c r="N11" s="2" t="n">
        <v>13.2</v>
      </c>
    </row>
    <row r="12" customFormat="false" ht="15" hidden="false" customHeight="false" outlineLevel="0" collapsed="false">
      <c r="A12" s="2" t="s">
        <v>52</v>
      </c>
      <c r="B12" s="2" t="n">
        <v>2009</v>
      </c>
      <c r="C12" s="2" t="s">
        <v>30</v>
      </c>
      <c r="D12" s="2" t="s">
        <v>31</v>
      </c>
      <c r="E12" s="2" t="s">
        <v>325</v>
      </c>
      <c r="F12" s="2" t="n">
        <v>199</v>
      </c>
      <c r="G12" s="2" t="n">
        <v>0.14</v>
      </c>
      <c r="H12" s="2" t="n">
        <v>6.11</v>
      </c>
      <c r="I12" s="2" t="n">
        <v>0.18</v>
      </c>
      <c r="J12" s="2" t="n">
        <v>1.21</v>
      </c>
      <c r="K12" s="2" t="n">
        <v>3.84</v>
      </c>
      <c r="L12" s="2" t="n">
        <v>0.22</v>
      </c>
      <c r="M12" s="2" t="n">
        <v>0.58</v>
      </c>
      <c r="N12" s="2" t="n">
        <v>7.23</v>
      </c>
    </row>
    <row r="13" customFormat="false" ht="15" hidden="false" customHeight="false" outlineLevel="0" collapsed="false">
      <c r="A13" s="2" t="s">
        <v>54</v>
      </c>
      <c r="B13" s="2" t="n">
        <v>2009</v>
      </c>
      <c r="C13" s="2" t="s">
        <v>30</v>
      </c>
      <c r="D13" s="2" t="s">
        <v>31</v>
      </c>
      <c r="E13" s="2" t="s">
        <v>326</v>
      </c>
      <c r="F13" s="2" t="n">
        <v>203</v>
      </c>
      <c r="G13" s="2" t="n">
        <v>0.15</v>
      </c>
      <c r="H13" s="2" t="n">
        <v>10.22</v>
      </c>
      <c r="I13" s="2" t="n">
        <v>0.17</v>
      </c>
      <c r="J13" s="2" t="n">
        <v>1.41</v>
      </c>
      <c r="K13" s="2" t="n">
        <v>4.72</v>
      </c>
      <c r="L13" s="2" t="n">
        <v>0.2</v>
      </c>
      <c r="M13" s="2" t="n">
        <v>0.74</v>
      </c>
      <c r="N13" s="2" t="n">
        <v>12.24</v>
      </c>
    </row>
    <row r="14" customFormat="false" ht="15" hidden="false" customHeight="false" outlineLevel="0" collapsed="false">
      <c r="A14" s="2" t="s">
        <v>56</v>
      </c>
      <c r="B14" s="2" t="n">
        <v>2009</v>
      </c>
      <c r="C14" s="2" t="s">
        <v>30</v>
      </c>
      <c r="D14" s="2" t="s">
        <v>31</v>
      </c>
      <c r="E14" s="2" t="s">
        <v>327</v>
      </c>
      <c r="F14" s="2" t="n">
        <v>204</v>
      </c>
      <c r="G14" s="2" t="n">
        <v>0.15</v>
      </c>
      <c r="H14" s="2" t="n">
        <v>10.3</v>
      </c>
      <c r="I14" s="2" t="n">
        <v>0.17</v>
      </c>
      <c r="J14" s="2" t="n">
        <v>1.31</v>
      </c>
      <c r="K14" s="2" t="n">
        <v>4.81</v>
      </c>
      <c r="L14" s="2" t="n">
        <v>0.2</v>
      </c>
      <c r="M14" s="2" t="n">
        <v>0.81</v>
      </c>
      <c r="N14" s="2" t="n">
        <v>17.72</v>
      </c>
    </row>
    <row r="15" customFormat="false" ht="15" hidden="false" customHeight="false" outlineLevel="0" collapsed="false">
      <c r="A15" s="2" t="s">
        <v>58</v>
      </c>
      <c r="B15" s="2" t="n">
        <v>2009</v>
      </c>
      <c r="C15" s="2" t="s">
        <v>30</v>
      </c>
      <c r="D15" s="2" t="s">
        <v>31</v>
      </c>
      <c r="E15" s="2" t="s">
        <v>328</v>
      </c>
      <c r="F15" s="2" t="n">
        <v>205</v>
      </c>
      <c r="G15" s="2" t="n">
        <v>0.14</v>
      </c>
      <c r="H15" s="2" t="n">
        <v>4.08</v>
      </c>
      <c r="I15" s="2" t="n">
        <v>0.18</v>
      </c>
      <c r="J15" s="2" t="n">
        <v>1.05</v>
      </c>
      <c r="K15" s="2" t="n">
        <v>3.84</v>
      </c>
      <c r="L15" s="2" t="n">
        <v>0.24</v>
      </c>
      <c r="M15" s="2" t="n">
        <v>0.49</v>
      </c>
      <c r="N15" s="2" t="n">
        <v>3.47</v>
      </c>
    </row>
    <row r="16" customFormat="false" ht="15" hidden="false" customHeight="false" outlineLevel="0" collapsed="false">
      <c r="A16" s="2" t="s">
        <v>60</v>
      </c>
      <c r="B16" s="2" t="n">
        <v>2009</v>
      </c>
      <c r="C16" s="2" t="s">
        <v>61</v>
      </c>
      <c r="D16" s="2" t="s">
        <v>31</v>
      </c>
      <c r="E16" s="2" t="s">
        <v>329</v>
      </c>
      <c r="F16" s="2" t="n">
        <v>95</v>
      </c>
      <c r="G16" s="2" t="n">
        <v>0.14</v>
      </c>
      <c r="H16" s="2" t="n">
        <v>8.89</v>
      </c>
      <c r="I16" s="2" t="n">
        <v>0.17</v>
      </c>
      <c r="J16" s="2" t="n">
        <v>1.31</v>
      </c>
      <c r="K16" s="2" t="n">
        <v>4.42</v>
      </c>
      <c r="L16" s="2" t="n">
        <v>0.2</v>
      </c>
      <c r="M16" s="2" t="n">
        <v>0.69</v>
      </c>
      <c r="N16" s="2" t="n">
        <v>9.35</v>
      </c>
    </row>
    <row r="17" customFormat="false" ht="15" hidden="false" customHeight="false" outlineLevel="0" collapsed="false">
      <c r="A17" s="2" t="s">
        <v>63</v>
      </c>
      <c r="B17" s="2" t="n">
        <v>2009</v>
      </c>
      <c r="C17" s="2" t="s">
        <v>61</v>
      </c>
      <c r="D17" s="2" t="s">
        <v>31</v>
      </c>
      <c r="E17" s="2" t="s">
        <v>330</v>
      </c>
      <c r="F17" s="2" t="n">
        <v>96</v>
      </c>
      <c r="G17" s="2" t="n">
        <v>0.14</v>
      </c>
      <c r="H17" s="2" t="n">
        <v>7.48</v>
      </c>
      <c r="I17" s="2" t="n">
        <v>0.17</v>
      </c>
      <c r="J17" s="2" t="n">
        <v>1.25</v>
      </c>
      <c r="K17" s="2" t="n">
        <v>4.06</v>
      </c>
      <c r="L17" s="2" t="n">
        <v>0.2</v>
      </c>
      <c r="M17" s="2" t="n">
        <v>0.71</v>
      </c>
      <c r="N17" s="2" t="n">
        <v>11.9</v>
      </c>
    </row>
    <row r="18" customFormat="false" ht="15" hidden="false" customHeight="false" outlineLevel="0" collapsed="false">
      <c r="A18" s="2" t="s">
        <v>65</v>
      </c>
      <c r="B18" s="2" t="n">
        <v>2009</v>
      </c>
      <c r="C18" s="2" t="s">
        <v>61</v>
      </c>
      <c r="D18" s="2" t="s">
        <v>31</v>
      </c>
      <c r="E18" s="2" t="s">
        <v>331</v>
      </c>
      <c r="F18" s="2" t="n">
        <v>97</v>
      </c>
      <c r="G18" s="2" t="n">
        <v>0.14</v>
      </c>
      <c r="H18" s="2" t="n">
        <v>7.22</v>
      </c>
      <c r="I18" s="2" t="n">
        <v>0.17</v>
      </c>
      <c r="J18" s="2" t="n">
        <v>1.26</v>
      </c>
      <c r="K18" s="2" t="n">
        <v>3.53</v>
      </c>
      <c r="L18" s="2" t="n">
        <v>0.21</v>
      </c>
      <c r="M18" s="2" t="n">
        <v>0.6</v>
      </c>
      <c r="N18" s="2" t="n">
        <v>7.52</v>
      </c>
    </row>
    <row r="19" customFormat="false" ht="15" hidden="false" customHeight="false" outlineLevel="0" collapsed="false">
      <c r="A19" s="2" t="s">
        <v>67</v>
      </c>
      <c r="B19" s="2" t="n">
        <v>2009</v>
      </c>
      <c r="C19" s="2" t="s">
        <v>61</v>
      </c>
      <c r="D19" s="2" t="s">
        <v>31</v>
      </c>
      <c r="E19" s="2" t="s">
        <v>332</v>
      </c>
      <c r="F19" s="2" t="n">
        <v>98</v>
      </c>
      <c r="G19" s="2" t="n">
        <v>0.14</v>
      </c>
      <c r="H19" s="2" t="n">
        <v>8.41</v>
      </c>
      <c r="I19" s="2" t="n">
        <v>0.17</v>
      </c>
      <c r="J19" s="2" t="n">
        <v>1.31</v>
      </c>
      <c r="K19" s="2" t="n">
        <v>4.04</v>
      </c>
      <c r="L19" s="2" t="n">
        <v>0.2</v>
      </c>
      <c r="M19" s="2" t="n">
        <v>0.7</v>
      </c>
      <c r="N19" s="2" t="n">
        <v>7.71</v>
      </c>
    </row>
    <row r="20" customFormat="false" ht="15" hidden="false" customHeight="false" outlineLevel="0" collapsed="false">
      <c r="A20" s="2" t="s">
        <v>69</v>
      </c>
      <c r="B20" s="2" t="n">
        <v>2009</v>
      </c>
      <c r="C20" s="2" t="s">
        <v>61</v>
      </c>
      <c r="D20" s="2" t="s">
        <v>31</v>
      </c>
      <c r="E20" s="2" t="s">
        <v>333</v>
      </c>
      <c r="F20" s="2" t="n">
        <v>99</v>
      </c>
      <c r="G20" s="2" t="n">
        <v>0.14</v>
      </c>
      <c r="H20" s="2" t="n">
        <v>5.11</v>
      </c>
      <c r="I20" s="2" t="n">
        <v>0.17</v>
      </c>
      <c r="J20" s="2" t="n">
        <v>1.12</v>
      </c>
      <c r="K20" s="2" t="n">
        <v>3.82</v>
      </c>
      <c r="L20" s="2" t="n">
        <v>0.21</v>
      </c>
      <c r="M20" s="2" t="n">
        <v>0.57</v>
      </c>
      <c r="N20" s="2" t="n">
        <v>6.23</v>
      </c>
    </row>
    <row r="21" customFormat="false" ht="15" hidden="false" customHeight="false" outlineLevel="0" collapsed="false">
      <c r="A21" s="2" t="s">
        <v>71</v>
      </c>
      <c r="B21" s="2" t="n">
        <v>2009</v>
      </c>
      <c r="C21" s="2" t="s">
        <v>61</v>
      </c>
      <c r="D21" s="2" t="s">
        <v>31</v>
      </c>
      <c r="E21" s="2" t="s">
        <v>334</v>
      </c>
      <c r="F21" s="2" t="n">
        <v>100</v>
      </c>
      <c r="G21" s="2" t="n">
        <v>0.14</v>
      </c>
      <c r="H21" s="2" t="n">
        <v>7.99</v>
      </c>
      <c r="I21" s="2" t="n">
        <v>0.17</v>
      </c>
      <c r="J21" s="2" t="n">
        <v>1.21</v>
      </c>
      <c r="K21" s="2" t="n">
        <v>4.85</v>
      </c>
      <c r="L21" s="2" t="n">
        <v>0.2</v>
      </c>
      <c r="M21" s="2" t="n">
        <v>0.72</v>
      </c>
      <c r="N21" s="2" t="n">
        <v>11.61</v>
      </c>
    </row>
    <row r="22" customFormat="false" ht="15" hidden="false" customHeight="false" outlineLevel="0" collapsed="false">
      <c r="A22" s="2" t="s">
        <v>73</v>
      </c>
      <c r="B22" s="2" t="n">
        <v>2009</v>
      </c>
      <c r="C22" s="2" t="s">
        <v>61</v>
      </c>
      <c r="D22" s="2" t="s">
        <v>31</v>
      </c>
      <c r="E22" s="2" t="s">
        <v>335</v>
      </c>
      <c r="F22" s="2" t="n">
        <v>101</v>
      </c>
      <c r="G22" s="2" t="n">
        <v>0.14</v>
      </c>
      <c r="H22" s="2" t="n">
        <v>7.76</v>
      </c>
      <c r="I22" s="2" t="n">
        <v>0.17</v>
      </c>
      <c r="J22" s="2" t="n">
        <v>1.18</v>
      </c>
      <c r="K22" s="2" t="n">
        <v>4.99</v>
      </c>
      <c r="L22" s="2" t="n">
        <v>0.2</v>
      </c>
      <c r="M22" s="2" t="n">
        <v>0.74</v>
      </c>
      <c r="N22" s="2" t="n">
        <v>11.29</v>
      </c>
    </row>
    <row r="23" customFormat="false" ht="15" hidden="false" customHeight="false" outlineLevel="0" collapsed="false">
      <c r="A23" s="2" t="s">
        <v>75</v>
      </c>
      <c r="B23" s="2" t="n">
        <v>2009</v>
      </c>
      <c r="C23" s="2" t="s">
        <v>61</v>
      </c>
      <c r="D23" s="2" t="s">
        <v>31</v>
      </c>
      <c r="E23" s="2" t="s">
        <v>336</v>
      </c>
      <c r="F23" s="2" t="n">
        <v>102</v>
      </c>
      <c r="G23" s="2" t="n">
        <v>0.13</v>
      </c>
      <c r="H23" s="2" t="n">
        <v>3.28</v>
      </c>
      <c r="I23" s="2" t="n">
        <v>0.18</v>
      </c>
      <c r="J23" s="2" t="n">
        <v>0.87</v>
      </c>
      <c r="K23" s="2" t="n">
        <v>3.43</v>
      </c>
      <c r="L23" s="2" t="n">
        <v>0.23</v>
      </c>
      <c r="M23" s="2" t="n">
        <v>0.48</v>
      </c>
      <c r="N23" s="2" t="n">
        <v>3.53</v>
      </c>
    </row>
    <row r="24" customFormat="false" ht="15" hidden="false" customHeight="false" outlineLevel="0" collapsed="false">
      <c r="A24" s="2" t="s">
        <v>77</v>
      </c>
      <c r="B24" s="2" t="n">
        <v>2009</v>
      </c>
      <c r="C24" s="2" t="s">
        <v>61</v>
      </c>
      <c r="D24" s="2" t="s">
        <v>31</v>
      </c>
      <c r="E24" s="2" t="s">
        <v>337</v>
      </c>
      <c r="F24" s="2" t="n">
        <v>103</v>
      </c>
      <c r="G24" s="2" t="n">
        <v>0.14</v>
      </c>
      <c r="H24" s="2" t="n">
        <v>4.46</v>
      </c>
      <c r="I24" s="2" t="n">
        <v>0.17</v>
      </c>
      <c r="J24" s="2" t="n">
        <v>1.01</v>
      </c>
      <c r="K24" s="2" t="n">
        <v>3.41</v>
      </c>
      <c r="L24" s="2" t="n">
        <v>0.21</v>
      </c>
      <c r="M24" s="2" t="n">
        <v>0.53</v>
      </c>
      <c r="N24" s="2" t="n">
        <v>5.25</v>
      </c>
    </row>
    <row r="25" customFormat="false" ht="15" hidden="false" customHeight="false" outlineLevel="0" collapsed="false">
      <c r="A25" s="2" t="s">
        <v>79</v>
      </c>
      <c r="B25" s="2" t="n">
        <v>2009</v>
      </c>
      <c r="C25" s="2" t="s">
        <v>61</v>
      </c>
      <c r="D25" s="2" t="s">
        <v>31</v>
      </c>
      <c r="E25" s="2" t="s">
        <v>338</v>
      </c>
      <c r="F25" s="2" t="n">
        <v>104</v>
      </c>
      <c r="G25" s="2" t="n">
        <v>0.14</v>
      </c>
      <c r="H25" s="2" t="n">
        <v>9.04</v>
      </c>
      <c r="I25" s="2" t="n">
        <v>0.17</v>
      </c>
      <c r="J25" s="2" t="n">
        <v>1.34</v>
      </c>
      <c r="K25" s="2" t="n">
        <v>4.19</v>
      </c>
      <c r="L25" s="2" t="n">
        <v>0.2</v>
      </c>
      <c r="M25" s="2" t="n">
        <v>0.72</v>
      </c>
      <c r="N25" s="2" t="n">
        <v>10.17</v>
      </c>
    </row>
    <row r="26" customFormat="false" ht="15" hidden="false" customHeight="false" outlineLevel="0" collapsed="false">
      <c r="A26" s="2" t="s">
        <v>81</v>
      </c>
      <c r="B26" s="2" t="n">
        <v>2009</v>
      </c>
      <c r="C26" s="2" t="s">
        <v>61</v>
      </c>
      <c r="D26" s="2" t="s">
        <v>31</v>
      </c>
      <c r="E26" s="2" t="s">
        <v>339</v>
      </c>
      <c r="F26" s="2" t="n">
        <v>105</v>
      </c>
      <c r="G26" s="2" t="n">
        <v>0.14</v>
      </c>
      <c r="H26" s="2" t="n">
        <v>14.16</v>
      </c>
      <c r="I26" s="2" t="n">
        <v>0.16</v>
      </c>
      <c r="J26" s="2" t="n">
        <v>1.39</v>
      </c>
      <c r="K26" s="2" t="n">
        <v>5</v>
      </c>
      <c r="L26" s="2" t="n">
        <v>0.19</v>
      </c>
      <c r="M26" s="2" t="n">
        <v>0.86</v>
      </c>
      <c r="N26" s="2" t="n">
        <v>18.4</v>
      </c>
    </row>
    <row r="27" customFormat="false" ht="15" hidden="false" customHeight="false" outlineLevel="0" collapsed="false">
      <c r="A27" s="2" t="s">
        <v>83</v>
      </c>
      <c r="B27" s="2" t="n">
        <v>2009</v>
      </c>
      <c r="C27" s="2" t="s">
        <v>61</v>
      </c>
      <c r="D27" s="2" t="s">
        <v>31</v>
      </c>
      <c r="E27" s="2" t="s">
        <v>340</v>
      </c>
      <c r="F27" s="2" t="n">
        <v>106</v>
      </c>
      <c r="G27" s="2" t="n">
        <v>0.14</v>
      </c>
      <c r="H27" s="2" t="n">
        <v>11.6</v>
      </c>
      <c r="I27" s="2" t="n">
        <v>0.16</v>
      </c>
      <c r="J27" s="2" t="n">
        <v>1.42</v>
      </c>
      <c r="K27" s="2" t="n">
        <v>4.88</v>
      </c>
      <c r="L27" s="2" t="n">
        <v>0.19</v>
      </c>
      <c r="M27" s="2" t="n">
        <v>0.84</v>
      </c>
      <c r="N27" s="2" t="n">
        <v>13.44</v>
      </c>
    </row>
    <row r="28" customFormat="false" ht="15" hidden="false" customHeight="false" outlineLevel="0" collapsed="false">
      <c r="A28" s="2" t="s">
        <v>85</v>
      </c>
      <c r="B28" s="2" t="n">
        <v>2009</v>
      </c>
      <c r="C28" s="2" t="s">
        <v>61</v>
      </c>
      <c r="D28" s="2" t="s">
        <v>31</v>
      </c>
      <c r="E28" s="2" t="s">
        <v>341</v>
      </c>
      <c r="F28" s="2" t="n">
        <v>107</v>
      </c>
      <c r="G28" s="2" t="n">
        <v>0.14</v>
      </c>
      <c r="H28" s="2" t="n">
        <v>5.3</v>
      </c>
      <c r="I28" s="2" t="n">
        <v>0.17</v>
      </c>
      <c r="J28" s="2" t="n">
        <v>1.14</v>
      </c>
      <c r="K28" s="2" t="n">
        <v>3.39</v>
      </c>
      <c r="L28" s="2" t="n">
        <v>0.21</v>
      </c>
      <c r="M28" s="2" t="n">
        <v>0.58</v>
      </c>
      <c r="N28" s="2" t="n">
        <v>7.52</v>
      </c>
    </row>
    <row r="29" customFormat="false" ht="15" hidden="false" customHeight="false" outlineLevel="0" collapsed="false">
      <c r="A29" s="2" t="s">
        <v>87</v>
      </c>
      <c r="B29" s="2" t="n">
        <v>2009</v>
      </c>
      <c r="C29" s="2" t="s">
        <v>61</v>
      </c>
      <c r="D29" s="2" t="s">
        <v>31</v>
      </c>
      <c r="E29" s="2" t="s">
        <v>342</v>
      </c>
      <c r="F29" s="2" t="n">
        <v>108</v>
      </c>
      <c r="G29" s="2" t="n">
        <v>0.15</v>
      </c>
      <c r="H29" s="2" t="n">
        <v>16.35</v>
      </c>
      <c r="I29" s="2" t="n">
        <v>0.16</v>
      </c>
      <c r="J29" s="2" t="n">
        <v>1.47</v>
      </c>
      <c r="K29" s="2" t="n">
        <v>6.76</v>
      </c>
      <c r="L29" s="2" t="n">
        <v>0.19</v>
      </c>
      <c r="M29" s="2" t="n">
        <v>1.06</v>
      </c>
      <c r="N29" s="2" t="n">
        <v>15.55</v>
      </c>
    </row>
    <row r="30" customFormat="false" ht="15" hidden="false" customHeight="false" outlineLevel="0" collapsed="false">
      <c r="A30" s="2" t="s">
        <v>89</v>
      </c>
      <c r="B30" s="2" t="n">
        <v>2009</v>
      </c>
      <c r="C30" s="2" t="s">
        <v>61</v>
      </c>
      <c r="D30" s="2" t="s">
        <v>31</v>
      </c>
      <c r="E30" s="2" t="s">
        <v>343</v>
      </c>
      <c r="F30" s="2" t="n">
        <v>109</v>
      </c>
      <c r="G30" s="2" t="n">
        <v>0.14</v>
      </c>
      <c r="H30" s="2" t="n">
        <v>9.11</v>
      </c>
      <c r="I30" s="2" t="n">
        <v>0.17</v>
      </c>
      <c r="J30" s="2" t="n">
        <v>1.29</v>
      </c>
      <c r="K30" s="2" t="n">
        <v>4.18</v>
      </c>
      <c r="L30" s="2" t="n">
        <v>0.2</v>
      </c>
      <c r="M30" s="2" t="n">
        <v>0.72</v>
      </c>
      <c r="N30" s="2" t="n">
        <v>10.12</v>
      </c>
    </row>
    <row r="31" customFormat="false" ht="15" hidden="false" customHeight="false" outlineLevel="0" collapsed="false">
      <c r="A31" s="2" t="s">
        <v>91</v>
      </c>
      <c r="B31" s="2" t="n">
        <v>2009</v>
      </c>
      <c r="C31" s="2" t="s">
        <v>61</v>
      </c>
      <c r="D31" s="2" t="s">
        <v>31</v>
      </c>
      <c r="E31" s="2" t="s">
        <v>344</v>
      </c>
      <c r="F31" s="2" t="n">
        <v>110</v>
      </c>
      <c r="G31" s="2" t="n">
        <v>0.14</v>
      </c>
      <c r="H31" s="2" t="n">
        <v>7.36</v>
      </c>
      <c r="I31" s="2" t="n">
        <v>0.17</v>
      </c>
      <c r="J31" s="2" t="n">
        <v>1.33</v>
      </c>
      <c r="K31" s="2" t="n">
        <v>4.12</v>
      </c>
      <c r="L31" s="2" t="n">
        <v>0.2</v>
      </c>
      <c r="M31" s="2" t="n">
        <v>0.73</v>
      </c>
      <c r="N31" s="2" t="n">
        <v>11.85</v>
      </c>
    </row>
    <row r="32" customFormat="false" ht="15" hidden="false" customHeight="false" outlineLevel="0" collapsed="false">
      <c r="A32" s="2" t="s">
        <v>93</v>
      </c>
      <c r="B32" s="2" t="n">
        <v>2009</v>
      </c>
      <c r="C32" s="2" t="s">
        <v>61</v>
      </c>
      <c r="D32" s="2" t="s">
        <v>31</v>
      </c>
      <c r="E32" s="2" t="s">
        <v>345</v>
      </c>
      <c r="F32" s="2" t="n">
        <v>111</v>
      </c>
      <c r="G32" s="2" t="n">
        <v>0.14</v>
      </c>
      <c r="H32" s="2" t="n">
        <v>6.93</v>
      </c>
      <c r="I32" s="2" t="n">
        <v>0.17</v>
      </c>
      <c r="J32" s="2" t="n">
        <v>1.27</v>
      </c>
      <c r="K32" s="2" t="n">
        <v>4.2</v>
      </c>
      <c r="L32" s="2" t="n">
        <v>0.2</v>
      </c>
      <c r="M32" s="2" t="n">
        <v>0.65</v>
      </c>
      <c r="N32" s="2" t="n">
        <v>9.32</v>
      </c>
    </row>
    <row r="33" customFormat="false" ht="15" hidden="false" customHeight="false" outlineLevel="0" collapsed="false">
      <c r="A33" s="2" t="s">
        <v>95</v>
      </c>
      <c r="B33" s="2" t="n">
        <v>2009</v>
      </c>
      <c r="C33" s="2" t="s">
        <v>61</v>
      </c>
      <c r="D33" s="2" t="s">
        <v>31</v>
      </c>
      <c r="E33" s="2" t="s">
        <v>346</v>
      </c>
      <c r="F33" s="2" t="n">
        <v>112</v>
      </c>
      <c r="G33" s="2" t="n">
        <v>0.14</v>
      </c>
      <c r="H33" s="2" t="n">
        <v>10.29</v>
      </c>
      <c r="I33" s="2" t="n">
        <v>0.17</v>
      </c>
      <c r="J33" s="2" t="n">
        <v>1.34</v>
      </c>
      <c r="K33" s="2" t="n">
        <v>4.12</v>
      </c>
      <c r="L33" s="2" t="n">
        <v>0.19</v>
      </c>
      <c r="M33" s="2" t="n">
        <v>0.76</v>
      </c>
      <c r="N33" s="2" t="n">
        <v>13.23</v>
      </c>
    </row>
    <row r="34" customFormat="false" ht="15" hidden="false" customHeight="false" outlineLevel="0" collapsed="false">
      <c r="A34" s="2" t="s">
        <v>97</v>
      </c>
      <c r="B34" s="2" t="n">
        <v>2009</v>
      </c>
      <c r="C34" s="2" t="s">
        <v>61</v>
      </c>
      <c r="D34" s="2" t="s">
        <v>31</v>
      </c>
      <c r="E34" s="2" t="s">
        <v>347</v>
      </c>
      <c r="F34" s="2" t="n">
        <v>113</v>
      </c>
      <c r="G34" s="2" t="n">
        <v>0.14</v>
      </c>
      <c r="H34" s="2" t="n">
        <v>5.87</v>
      </c>
      <c r="I34" s="2" t="n">
        <v>0.17</v>
      </c>
      <c r="J34" s="2" t="n">
        <v>1.21</v>
      </c>
      <c r="K34" s="2" t="n">
        <v>3.63</v>
      </c>
      <c r="L34" s="2" t="n">
        <v>0.2</v>
      </c>
      <c r="M34" s="2" t="n">
        <v>0.62</v>
      </c>
      <c r="N34" s="2" t="n">
        <v>8.51</v>
      </c>
    </row>
    <row r="35" customFormat="false" ht="15" hidden="false" customHeight="false" outlineLevel="0" collapsed="false">
      <c r="A35" s="2" t="s">
        <v>99</v>
      </c>
      <c r="B35" s="2" t="n">
        <v>2009</v>
      </c>
      <c r="C35" s="2" t="s">
        <v>61</v>
      </c>
      <c r="D35" s="2" t="s">
        <v>31</v>
      </c>
      <c r="E35" s="2" t="s">
        <v>348</v>
      </c>
      <c r="F35" s="2" t="n">
        <v>114</v>
      </c>
      <c r="G35" s="2" t="n">
        <v>0.14</v>
      </c>
      <c r="H35" s="2" t="n">
        <v>9.03</v>
      </c>
      <c r="I35" s="2" t="n">
        <v>0.16</v>
      </c>
      <c r="J35" s="2" t="n">
        <v>1.27</v>
      </c>
      <c r="K35" s="2" t="n">
        <v>5.03</v>
      </c>
      <c r="L35" s="2" t="n">
        <v>0.19</v>
      </c>
      <c r="M35" s="2" t="n">
        <v>0.78</v>
      </c>
      <c r="N35" s="2" t="n">
        <v>14.14</v>
      </c>
    </row>
    <row r="36" customFormat="false" ht="15" hidden="false" customHeight="false" outlineLevel="0" collapsed="false">
      <c r="A36" s="2" t="s">
        <v>101</v>
      </c>
      <c r="B36" s="2" t="n">
        <v>2009</v>
      </c>
      <c r="C36" s="2" t="s">
        <v>61</v>
      </c>
      <c r="D36" s="2" t="s">
        <v>31</v>
      </c>
      <c r="E36" s="2" t="s">
        <v>349</v>
      </c>
      <c r="F36" s="2" t="n">
        <v>115</v>
      </c>
      <c r="G36" s="2" t="n">
        <v>0.14</v>
      </c>
      <c r="H36" s="2" t="n">
        <v>8.52</v>
      </c>
      <c r="I36" s="2" t="n">
        <v>0.16</v>
      </c>
      <c r="J36" s="2" t="n">
        <v>1.34</v>
      </c>
      <c r="K36" s="2" t="n">
        <v>4.35</v>
      </c>
      <c r="L36" s="2" t="n">
        <v>0.19</v>
      </c>
      <c r="M36" s="2" t="n">
        <v>0.81</v>
      </c>
      <c r="N36" s="2" t="n">
        <v>10.84</v>
      </c>
    </row>
    <row r="37" customFormat="false" ht="15" hidden="false" customHeight="false" outlineLevel="0" collapsed="false">
      <c r="A37" s="2" t="s">
        <v>103</v>
      </c>
      <c r="B37" s="2" t="n">
        <v>2009</v>
      </c>
      <c r="C37" s="2" t="s">
        <v>61</v>
      </c>
      <c r="D37" s="2" t="s">
        <v>31</v>
      </c>
      <c r="E37" s="2" t="s">
        <v>350</v>
      </c>
      <c r="F37" s="2" t="n">
        <v>116</v>
      </c>
      <c r="G37" s="2" t="n">
        <v>0.14</v>
      </c>
      <c r="H37" s="2" t="n">
        <v>8.03</v>
      </c>
      <c r="I37" s="2" t="n">
        <v>0.17</v>
      </c>
      <c r="J37" s="2" t="n">
        <v>1.22</v>
      </c>
      <c r="K37" s="2" t="n">
        <v>4.21</v>
      </c>
      <c r="L37" s="2" t="n">
        <v>0.2</v>
      </c>
      <c r="M37" s="2" t="n">
        <v>0.72</v>
      </c>
      <c r="N37" s="2" t="n">
        <v>9.51</v>
      </c>
    </row>
    <row r="38" customFormat="false" ht="15" hidden="false" customHeight="false" outlineLevel="0" collapsed="false">
      <c r="A38" s="2" t="s">
        <v>105</v>
      </c>
      <c r="B38" s="2" t="n">
        <v>2009</v>
      </c>
      <c r="C38" s="2" t="s">
        <v>61</v>
      </c>
      <c r="D38" s="2" t="s">
        <v>31</v>
      </c>
      <c r="E38" s="2" t="s">
        <v>351</v>
      </c>
      <c r="F38" s="2" t="n">
        <v>117</v>
      </c>
      <c r="G38" s="2" t="n">
        <v>0.14</v>
      </c>
      <c r="H38" s="2" t="n">
        <v>8.85</v>
      </c>
      <c r="I38" s="2" t="n">
        <v>0.16</v>
      </c>
      <c r="J38" s="2" t="n">
        <v>1.18</v>
      </c>
      <c r="K38" s="2" t="n">
        <v>4.51</v>
      </c>
      <c r="L38" s="2" t="n">
        <v>0.19</v>
      </c>
      <c r="M38" s="2" t="n">
        <v>0.76</v>
      </c>
      <c r="N38" s="2" t="n">
        <v>13.63</v>
      </c>
    </row>
    <row r="39" customFormat="false" ht="15" hidden="false" customHeight="false" outlineLevel="0" collapsed="false">
      <c r="A39" s="2" t="s">
        <v>107</v>
      </c>
      <c r="B39" s="2" t="n">
        <v>2009</v>
      </c>
      <c r="C39" s="2" t="s">
        <v>61</v>
      </c>
      <c r="D39" s="2" t="s">
        <v>31</v>
      </c>
      <c r="E39" s="2" t="s">
        <v>352</v>
      </c>
      <c r="F39" s="2" t="n">
        <v>118</v>
      </c>
      <c r="G39" s="2" t="n">
        <v>0.14</v>
      </c>
      <c r="H39" s="2" t="n">
        <v>9.04</v>
      </c>
      <c r="I39" s="2" t="n">
        <v>0.17</v>
      </c>
      <c r="J39" s="2" t="n">
        <v>1.26</v>
      </c>
      <c r="K39" s="2" t="n">
        <v>4.03</v>
      </c>
      <c r="L39" s="2" t="n">
        <v>0.2</v>
      </c>
      <c r="M39" s="2" t="n">
        <v>0.7</v>
      </c>
      <c r="N39" s="2" t="n">
        <v>10.07</v>
      </c>
    </row>
    <row r="40" customFormat="false" ht="15" hidden="false" customHeight="false" outlineLevel="0" collapsed="false">
      <c r="A40" s="2" t="s">
        <v>109</v>
      </c>
      <c r="B40" s="2" t="n">
        <v>2009</v>
      </c>
      <c r="C40" s="2" t="s">
        <v>61</v>
      </c>
      <c r="D40" s="2" t="s">
        <v>31</v>
      </c>
      <c r="E40" s="2" t="s">
        <v>353</v>
      </c>
      <c r="F40" s="2" t="n">
        <v>119</v>
      </c>
      <c r="G40" s="2" t="n">
        <v>0.14</v>
      </c>
      <c r="H40" s="2" t="n">
        <v>6.94</v>
      </c>
      <c r="I40" s="2" t="n">
        <v>0.17</v>
      </c>
      <c r="J40" s="2" t="n">
        <v>1.19</v>
      </c>
      <c r="K40" s="2" t="n">
        <v>3.16</v>
      </c>
      <c r="L40" s="2" t="n">
        <v>0.2</v>
      </c>
      <c r="M40" s="2" t="n">
        <v>0.73</v>
      </c>
      <c r="N40" s="2" t="n">
        <v>11.08</v>
      </c>
    </row>
    <row r="41" customFormat="false" ht="15" hidden="false" customHeight="false" outlineLevel="0" collapsed="false">
      <c r="A41" s="2" t="s">
        <v>111</v>
      </c>
      <c r="B41" s="2" t="n">
        <v>2009</v>
      </c>
      <c r="C41" s="2" t="s">
        <v>61</v>
      </c>
      <c r="D41" s="2" t="s">
        <v>31</v>
      </c>
      <c r="E41" s="2" t="s">
        <v>354</v>
      </c>
      <c r="F41" s="2" t="n">
        <v>120</v>
      </c>
      <c r="G41" s="2" t="n">
        <v>0.14</v>
      </c>
      <c r="H41" s="2" t="n">
        <v>9.73</v>
      </c>
      <c r="I41" s="2" t="n">
        <v>0.16</v>
      </c>
      <c r="J41" s="2" t="n">
        <v>1.24</v>
      </c>
      <c r="K41" s="2" t="n">
        <v>4.25</v>
      </c>
      <c r="L41" s="2" t="n">
        <v>0.19</v>
      </c>
      <c r="M41" s="2" t="n">
        <v>0.81</v>
      </c>
      <c r="N41" s="2" t="n">
        <v>11.93</v>
      </c>
    </row>
    <row r="42" customFormat="false" ht="15" hidden="false" customHeight="false" outlineLevel="0" collapsed="false">
      <c r="A42" s="2" t="s">
        <v>113</v>
      </c>
      <c r="B42" s="2" t="n">
        <v>2009</v>
      </c>
      <c r="C42" s="2" t="s">
        <v>61</v>
      </c>
      <c r="D42" s="2" t="s">
        <v>31</v>
      </c>
      <c r="E42" s="2" t="s">
        <v>355</v>
      </c>
      <c r="F42" s="2" t="n">
        <v>121</v>
      </c>
      <c r="G42" s="2" t="n">
        <v>0.14</v>
      </c>
      <c r="H42" s="2" t="n">
        <v>7.56</v>
      </c>
      <c r="I42" s="2" t="n">
        <v>0.17</v>
      </c>
      <c r="J42" s="2" t="n">
        <v>1.15</v>
      </c>
      <c r="K42" s="2" t="n">
        <v>4.24</v>
      </c>
      <c r="L42" s="2" t="n">
        <v>0.2</v>
      </c>
      <c r="M42" s="2" t="n">
        <v>0.73</v>
      </c>
      <c r="N42" s="2" t="n">
        <v>11.31</v>
      </c>
    </row>
    <row r="43" customFormat="false" ht="15" hidden="false" customHeight="false" outlineLevel="0" collapsed="false">
      <c r="A43" s="2" t="s">
        <v>115</v>
      </c>
      <c r="B43" s="2" t="n">
        <v>2009</v>
      </c>
      <c r="C43" s="2" t="s">
        <v>61</v>
      </c>
      <c r="D43" s="2" t="s">
        <v>31</v>
      </c>
      <c r="E43" s="2" t="s">
        <v>356</v>
      </c>
      <c r="F43" s="2" t="n">
        <v>122</v>
      </c>
      <c r="G43" s="2" t="n">
        <v>0.13</v>
      </c>
      <c r="H43" s="2" t="n">
        <v>3.09</v>
      </c>
      <c r="I43" s="2" t="n">
        <v>0.18</v>
      </c>
      <c r="J43" s="2" t="n">
        <v>0.92</v>
      </c>
      <c r="K43" s="2" t="n">
        <v>4.66</v>
      </c>
      <c r="L43" s="2" t="n">
        <v>0.23</v>
      </c>
      <c r="M43" s="2" t="n">
        <v>0.46</v>
      </c>
      <c r="N43" s="2" t="n">
        <v>2.99</v>
      </c>
    </row>
    <row r="44" customFormat="false" ht="15" hidden="false" customHeight="false" outlineLevel="0" collapsed="false">
      <c r="A44" s="2" t="s">
        <v>117</v>
      </c>
      <c r="B44" s="2" t="n">
        <v>2009</v>
      </c>
      <c r="C44" s="2" t="s">
        <v>61</v>
      </c>
      <c r="D44" s="2" t="s">
        <v>31</v>
      </c>
      <c r="E44" s="2" t="s">
        <v>357</v>
      </c>
      <c r="F44" s="2" t="n">
        <v>123</v>
      </c>
      <c r="G44" s="2" t="n">
        <v>0.14</v>
      </c>
      <c r="H44" s="2" t="n">
        <v>8.7</v>
      </c>
      <c r="I44" s="2" t="n">
        <v>0.17</v>
      </c>
      <c r="J44" s="2" t="n">
        <v>1.2</v>
      </c>
      <c r="K44" s="2" t="n">
        <v>3.01</v>
      </c>
      <c r="L44" s="2" t="n">
        <v>0.21</v>
      </c>
      <c r="M44" s="2" t="n">
        <v>0.55</v>
      </c>
      <c r="N44" s="2" t="n">
        <v>6.05</v>
      </c>
    </row>
    <row r="45" customFormat="false" ht="15" hidden="false" customHeight="false" outlineLevel="0" collapsed="false">
      <c r="A45" s="2" t="s">
        <v>119</v>
      </c>
      <c r="B45" s="2" t="n">
        <v>2009</v>
      </c>
      <c r="C45" s="2" t="s">
        <v>61</v>
      </c>
      <c r="D45" s="2" t="s">
        <v>31</v>
      </c>
      <c r="E45" s="2" t="s">
        <v>358</v>
      </c>
      <c r="F45" s="2" t="n">
        <v>126</v>
      </c>
      <c r="G45" s="2" t="n">
        <v>0.13</v>
      </c>
      <c r="H45" s="2" t="n">
        <v>2.84</v>
      </c>
      <c r="I45" s="2" t="n">
        <v>0.18</v>
      </c>
      <c r="J45" s="2" t="n">
        <v>0.92</v>
      </c>
      <c r="K45" s="2" t="n">
        <v>4.25</v>
      </c>
      <c r="L45" s="2" t="n">
        <v>0.24</v>
      </c>
      <c r="M45" s="2" t="n">
        <v>0.45</v>
      </c>
      <c r="N45" s="2" t="n">
        <v>2.57</v>
      </c>
    </row>
    <row r="46" customFormat="false" ht="15" hidden="false" customHeight="false" outlineLevel="0" collapsed="false">
      <c r="A46" s="2" t="s">
        <v>121</v>
      </c>
      <c r="B46" s="2" t="n">
        <v>2009</v>
      </c>
      <c r="C46" s="2" t="s">
        <v>61</v>
      </c>
      <c r="D46" s="2" t="s">
        <v>31</v>
      </c>
      <c r="E46" s="2" t="s">
        <v>359</v>
      </c>
      <c r="F46" s="2" t="n">
        <v>127</v>
      </c>
      <c r="G46" s="2" t="n">
        <v>0.14</v>
      </c>
      <c r="H46" s="2" t="n">
        <v>10.51</v>
      </c>
      <c r="I46" s="2" t="n">
        <v>0.16</v>
      </c>
      <c r="J46" s="2" t="n">
        <v>1.25</v>
      </c>
      <c r="K46" s="2" t="n">
        <v>4.86</v>
      </c>
      <c r="L46" s="2" t="n">
        <v>0.19</v>
      </c>
      <c r="M46" s="2" t="n">
        <v>0.78</v>
      </c>
      <c r="N46" s="2" t="n">
        <v>12.84</v>
      </c>
    </row>
    <row r="47" customFormat="false" ht="15" hidden="false" customHeight="false" outlineLevel="0" collapsed="false">
      <c r="A47" s="2" t="s">
        <v>123</v>
      </c>
      <c r="B47" s="2" t="n">
        <v>2009</v>
      </c>
      <c r="C47" s="2" t="s">
        <v>61</v>
      </c>
      <c r="D47" s="2" t="s">
        <v>31</v>
      </c>
      <c r="E47" s="2" t="s">
        <v>360</v>
      </c>
      <c r="F47" s="2" t="n">
        <v>128</v>
      </c>
      <c r="G47" s="2" t="n">
        <v>0.14</v>
      </c>
      <c r="H47" s="2" t="n">
        <v>11.65</v>
      </c>
      <c r="I47" s="2" t="n">
        <v>0.16</v>
      </c>
      <c r="J47" s="2" t="n">
        <v>1.26</v>
      </c>
      <c r="K47" s="2" t="n">
        <v>5.03</v>
      </c>
      <c r="L47" s="2" t="n">
        <v>0.19</v>
      </c>
      <c r="M47" s="2" t="n">
        <v>0.89</v>
      </c>
      <c r="N47" s="2" t="n">
        <v>20.4</v>
      </c>
    </row>
    <row r="48" customFormat="false" ht="15" hidden="false" customHeight="false" outlineLevel="0" collapsed="false">
      <c r="A48" s="2" t="s">
        <v>125</v>
      </c>
      <c r="B48" s="2" t="n">
        <v>2009</v>
      </c>
      <c r="C48" s="2" t="s">
        <v>61</v>
      </c>
      <c r="D48" s="2" t="s">
        <v>31</v>
      </c>
      <c r="E48" s="2" t="s">
        <v>361</v>
      </c>
      <c r="F48" s="2" t="n">
        <v>129</v>
      </c>
      <c r="G48" s="2" t="n">
        <v>0.14</v>
      </c>
      <c r="H48" s="2" t="n">
        <v>12.19</v>
      </c>
      <c r="I48" s="2" t="n">
        <v>0.16</v>
      </c>
      <c r="J48" s="2" t="n">
        <v>1.3</v>
      </c>
      <c r="K48" s="2" t="n">
        <v>5.54</v>
      </c>
      <c r="L48" s="2" t="n">
        <v>0.19</v>
      </c>
      <c r="M48" s="2" t="n">
        <v>0.9</v>
      </c>
      <c r="N48" s="2" t="n">
        <v>18.55</v>
      </c>
    </row>
    <row r="49" customFormat="false" ht="15" hidden="false" customHeight="false" outlineLevel="0" collapsed="false">
      <c r="A49" s="2" t="s">
        <v>127</v>
      </c>
      <c r="B49" s="2" t="n">
        <v>2009</v>
      </c>
      <c r="C49" s="2" t="s">
        <v>61</v>
      </c>
      <c r="D49" s="2" t="s">
        <v>31</v>
      </c>
      <c r="E49" s="2" t="s">
        <v>362</v>
      </c>
      <c r="F49" s="2" t="n">
        <v>130</v>
      </c>
      <c r="G49" s="2" t="n">
        <v>0.14</v>
      </c>
      <c r="H49" s="2" t="n">
        <v>5</v>
      </c>
      <c r="I49" s="2" t="n">
        <v>0.17</v>
      </c>
      <c r="J49" s="2" t="n">
        <v>1.06</v>
      </c>
      <c r="K49" s="2" t="n">
        <v>3.52</v>
      </c>
      <c r="L49" s="2" t="n">
        <v>0.21</v>
      </c>
      <c r="M49" s="2" t="n">
        <v>0.56</v>
      </c>
      <c r="N49" s="2" t="n">
        <v>6.38</v>
      </c>
    </row>
    <row r="50" customFormat="false" ht="15" hidden="false" customHeight="false" outlineLevel="0" collapsed="false">
      <c r="A50" s="2" t="s">
        <v>129</v>
      </c>
      <c r="B50" s="2" t="n">
        <v>2009</v>
      </c>
      <c r="C50" s="2" t="s">
        <v>61</v>
      </c>
      <c r="D50" s="2" t="s">
        <v>31</v>
      </c>
      <c r="E50" s="2" t="s">
        <v>363</v>
      </c>
      <c r="F50" s="2" t="n">
        <v>131</v>
      </c>
      <c r="G50" s="2" t="n">
        <v>0.14</v>
      </c>
      <c r="H50" s="2" t="n">
        <v>5.5</v>
      </c>
      <c r="I50" s="2" t="n">
        <v>0.17</v>
      </c>
      <c r="J50" s="2" t="n">
        <v>1.12</v>
      </c>
      <c r="K50" s="2" t="n">
        <v>3.66</v>
      </c>
      <c r="L50" s="2" t="n">
        <v>0.21</v>
      </c>
      <c r="M50" s="2" t="n">
        <v>0.6</v>
      </c>
      <c r="N50" s="2" t="n">
        <v>8.06</v>
      </c>
    </row>
    <row r="51" customFormat="false" ht="15" hidden="false" customHeight="false" outlineLevel="0" collapsed="false">
      <c r="A51" s="2" t="s">
        <v>131</v>
      </c>
      <c r="B51" s="2" t="n">
        <v>2009</v>
      </c>
      <c r="C51" s="2" t="s">
        <v>61</v>
      </c>
      <c r="D51" s="2" t="s">
        <v>31</v>
      </c>
      <c r="E51" s="2" t="s">
        <v>364</v>
      </c>
      <c r="F51" s="2" t="n">
        <v>132</v>
      </c>
      <c r="G51" s="2" t="n">
        <v>0.14</v>
      </c>
      <c r="H51" s="2" t="n">
        <v>8.39</v>
      </c>
      <c r="I51" s="2" t="n">
        <v>0.17</v>
      </c>
      <c r="J51" s="2" t="n">
        <v>1.21</v>
      </c>
      <c r="K51" s="2" t="n">
        <v>3.89</v>
      </c>
      <c r="L51" s="2" t="n">
        <v>0.2</v>
      </c>
      <c r="M51" s="2" t="n">
        <v>0.67</v>
      </c>
      <c r="N51" s="2" t="n">
        <v>9.51</v>
      </c>
    </row>
    <row r="52" customFormat="false" ht="15" hidden="false" customHeight="false" outlineLevel="0" collapsed="false">
      <c r="A52" s="2" t="s">
        <v>133</v>
      </c>
      <c r="B52" s="2" t="n">
        <v>2009</v>
      </c>
      <c r="C52" s="2" t="s">
        <v>61</v>
      </c>
      <c r="D52" s="2" t="s">
        <v>31</v>
      </c>
      <c r="E52" s="2" t="s">
        <v>365</v>
      </c>
      <c r="F52" s="2" t="n">
        <v>133</v>
      </c>
      <c r="G52" s="2" t="n">
        <v>0.14</v>
      </c>
      <c r="H52" s="2" t="n">
        <v>9.55</v>
      </c>
      <c r="I52" s="2" t="n">
        <v>0.17</v>
      </c>
      <c r="J52" s="2" t="n">
        <v>1.2</v>
      </c>
      <c r="K52" s="2" t="n">
        <v>4.04</v>
      </c>
      <c r="L52" s="2" t="n">
        <v>0.2</v>
      </c>
      <c r="M52" s="2" t="n">
        <v>0.73</v>
      </c>
      <c r="N52" s="2" t="n">
        <v>16.13</v>
      </c>
    </row>
    <row r="53" customFormat="false" ht="15" hidden="false" customHeight="false" outlineLevel="0" collapsed="false">
      <c r="A53" s="2" t="s">
        <v>135</v>
      </c>
      <c r="B53" s="2" t="n">
        <v>2009</v>
      </c>
      <c r="C53" s="2" t="s">
        <v>61</v>
      </c>
      <c r="D53" s="2" t="s">
        <v>31</v>
      </c>
      <c r="E53" s="2" t="s">
        <v>366</v>
      </c>
      <c r="F53" s="2" t="n">
        <v>134</v>
      </c>
      <c r="G53" s="2" t="n">
        <v>0.14</v>
      </c>
      <c r="H53" s="2" t="n">
        <v>5.03</v>
      </c>
      <c r="I53" s="2" t="n">
        <v>0.17</v>
      </c>
      <c r="J53" s="2" t="n">
        <v>1.04</v>
      </c>
      <c r="K53" s="2" t="n">
        <v>3.4</v>
      </c>
      <c r="L53" s="2" t="n">
        <v>0.21</v>
      </c>
      <c r="M53" s="2" t="n">
        <v>0.55</v>
      </c>
      <c r="N53" s="2" t="n">
        <v>6.23</v>
      </c>
    </row>
    <row r="54" customFormat="false" ht="15" hidden="false" customHeight="false" outlineLevel="0" collapsed="false">
      <c r="A54" s="2" t="s">
        <v>137</v>
      </c>
      <c r="B54" s="2" t="n">
        <v>2009</v>
      </c>
      <c r="C54" s="2" t="s">
        <v>61</v>
      </c>
      <c r="D54" s="2" t="s">
        <v>31</v>
      </c>
      <c r="E54" s="2" t="s">
        <v>367</v>
      </c>
      <c r="F54" s="2" t="n">
        <v>135</v>
      </c>
      <c r="G54" s="2" t="n">
        <v>0.13</v>
      </c>
      <c r="H54" s="2" t="n">
        <v>3.95</v>
      </c>
      <c r="I54" s="2" t="n">
        <v>0.18</v>
      </c>
      <c r="J54" s="2" t="n">
        <v>0.97</v>
      </c>
      <c r="K54" s="2" t="n">
        <v>3.34</v>
      </c>
      <c r="L54" s="2" t="n">
        <v>0.22</v>
      </c>
      <c r="M54" s="2" t="n">
        <v>0.49</v>
      </c>
      <c r="N54" s="2" t="n">
        <v>3.73</v>
      </c>
    </row>
    <row r="55" customFormat="false" ht="15" hidden="false" customHeight="false" outlineLevel="0" collapsed="false">
      <c r="A55" s="2" t="s">
        <v>139</v>
      </c>
      <c r="B55" s="2" t="n">
        <v>2009</v>
      </c>
      <c r="C55" s="2" t="s">
        <v>61</v>
      </c>
      <c r="D55" s="2" t="s">
        <v>31</v>
      </c>
      <c r="E55" s="2" t="s">
        <v>368</v>
      </c>
      <c r="F55" s="2" t="n">
        <v>136</v>
      </c>
      <c r="G55" s="2" t="n">
        <v>0.14</v>
      </c>
      <c r="H55" s="2" t="n">
        <v>7.39</v>
      </c>
      <c r="I55" s="2" t="n">
        <v>0.17</v>
      </c>
      <c r="J55" s="2" t="n">
        <v>1.14</v>
      </c>
      <c r="K55" s="2" t="n">
        <v>3.98</v>
      </c>
      <c r="L55" s="2" t="n">
        <v>0.2</v>
      </c>
      <c r="M55" s="2" t="n">
        <v>0.68</v>
      </c>
      <c r="N55" s="2" t="n">
        <v>9.85</v>
      </c>
    </row>
    <row r="56" customFormat="false" ht="15" hidden="false" customHeight="false" outlineLevel="0" collapsed="false">
      <c r="A56" s="2" t="s">
        <v>141</v>
      </c>
      <c r="B56" s="2" t="n">
        <v>2009</v>
      </c>
      <c r="C56" s="2" t="s">
        <v>61</v>
      </c>
      <c r="D56" s="2" t="s">
        <v>31</v>
      </c>
      <c r="E56" s="2" t="s">
        <v>369</v>
      </c>
      <c r="F56" s="2" t="n">
        <v>137</v>
      </c>
      <c r="G56" s="2" t="n">
        <v>0.14</v>
      </c>
      <c r="H56" s="2" t="n">
        <v>10.37</v>
      </c>
      <c r="I56" s="2" t="n">
        <v>0.17</v>
      </c>
      <c r="J56" s="2" t="n">
        <v>1.2</v>
      </c>
      <c r="K56" s="2" t="n">
        <v>4.63</v>
      </c>
      <c r="L56" s="2" t="n">
        <v>0.19</v>
      </c>
      <c r="M56" s="2" t="n">
        <v>0.75</v>
      </c>
      <c r="N56" s="2" t="n">
        <v>14.11</v>
      </c>
    </row>
    <row r="57" customFormat="false" ht="15" hidden="false" customHeight="false" outlineLevel="0" collapsed="false">
      <c r="A57" s="2" t="s">
        <v>143</v>
      </c>
      <c r="B57" s="2" t="n">
        <v>2009</v>
      </c>
      <c r="C57" s="2" t="s">
        <v>61</v>
      </c>
      <c r="D57" s="2" t="s">
        <v>31</v>
      </c>
      <c r="E57" s="2" t="s">
        <v>370</v>
      </c>
      <c r="F57" s="2" t="n">
        <v>138</v>
      </c>
      <c r="G57" s="2" t="n">
        <v>0.14</v>
      </c>
      <c r="H57" s="2" t="n">
        <v>9.05</v>
      </c>
      <c r="I57" s="2" t="n">
        <v>0.17</v>
      </c>
      <c r="J57" s="2" t="n">
        <v>1.22</v>
      </c>
      <c r="K57" s="2" t="n">
        <v>4.21</v>
      </c>
      <c r="L57" s="2" t="n">
        <v>0.2</v>
      </c>
      <c r="M57" s="2" t="n">
        <v>0.69</v>
      </c>
      <c r="N57" s="2" t="n">
        <v>8.5</v>
      </c>
    </row>
    <row r="58" customFormat="false" ht="15" hidden="false" customHeight="false" outlineLevel="0" collapsed="false">
      <c r="A58" s="2" t="s">
        <v>145</v>
      </c>
      <c r="B58" s="2" t="n">
        <v>2009</v>
      </c>
      <c r="C58" s="2" t="s">
        <v>61</v>
      </c>
      <c r="D58" s="2" t="s">
        <v>31</v>
      </c>
      <c r="E58" s="2" t="s">
        <v>371</v>
      </c>
      <c r="F58" s="2" t="n">
        <v>139</v>
      </c>
      <c r="G58" s="2" t="n">
        <v>0.14</v>
      </c>
      <c r="H58" s="2" t="n">
        <v>8.16</v>
      </c>
      <c r="I58" s="2" t="n">
        <v>0.16</v>
      </c>
      <c r="J58" s="2" t="n">
        <v>1.32</v>
      </c>
      <c r="K58" s="2" t="n">
        <v>4.47</v>
      </c>
      <c r="L58" s="2" t="n">
        <v>0.2</v>
      </c>
      <c r="M58" s="2" t="n">
        <v>0.75</v>
      </c>
      <c r="N58" s="2" t="n">
        <v>9.16</v>
      </c>
    </row>
    <row r="59" customFormat="false" ht="15" hidden="false" customHeight="false" outlineLevel="0" collapsed="false">
      <c r="A59" s="2" t="s">
        <v>147</v>
      </c>
      <c r="B59" s="2" t="n">
        <v>2009</v>
      </c>
      <c r="C59" s="2" t="s">
        <v>61</v>
      </c>
      <c r="D59" s="2" t="s">
        <v>31</v>
      </c>
      <c r="E59" s="2" t="s">
        <v>372</v>
      </c>
      <c r="F59" s="2" t="n">
        <v>141</v>
      </c>
      <c r="G59" s="2" t="n">
        <v>0.14</v>
      </c>
      <c r="H59" s="2" t="n">
        <v>7.42</v>
      </c>
      <c r="I59" s="2" t="n">
        <v>0.17</v>
      </c>
      <c r="J59" s="2" t="n">
        <v>1.24</v>
      </c>
      <c r="K59" s="2" t="n">
        <v>4.19</v>
      </c>
      <c r="L59" s="2" t="n">
        <v>0.2</v>
      </c>
      <c r="M59" s="2" t="n">
        <v>0.72</v>
      </c>
      <c r="N59" s="2" t="n">
        <v>12.78</v>
      </c>
    </row>
    <row r="60" customFormat="false" ht="15" hidden="false" customHeight="false" outlineLevel="0" collapsed="false">
      <c r="A60" s="2" t="s">
        <v>149</v>
      </c>
      <c r="B60" s="2" t="n">
        <v>2009</v>
      </c>
      <c r="C60" s="2" t="s">
        <v>61</v>
      </c>
      <c r="D60" s="2" t="s">
        <v>31</v>
      </c>
      <c r="E60" s="2" t="s">
        <v>373</v>
      </c>
      <c r="F60" s="2" t="n">
        <v>142</v>
      </c>
      <c r="G60" s="2" t="n">
        <v>0.14</v>
      </c>
      <c r="H60" s="2" t="n">
        <v>6.22</v>
      </c>
      <c r="I60" s="2" t="n">
        <v>0.17</v>
      </c>
      <c r="J60" s="2" t="n">
        <v>1.17</v>
      </c>
      <c r="K60" s="2" t="n">
        <v>3.92</v>
      </c>
      <c r="L60" s="2" t="n">
        <v>0.2</v>
      </c>
      <c r="M60" s="2" t="n">
        <v>0.63</v>
      </c>
      <c r="N60" s="2" t="n">
        <v>9.9</v>
      </c>
    </row>
    <row r="61" customFormat="false" ht="15" hidden="false" customHeight="false" outlineLevel="0" collapsed="false">
      <c r="A61" s="2" t="s">
        <v>151</v>
      </c>
      <c r="B61" s="2" t="n">
        <v>2009</v>
      </c>
      <c r="C61" s="2" t="s">
        <v>61</v>
      </c>
      <c r="D61" s="2" t="s">
        <v>31</v>
      </c>
      <c r="E61" s="2" t="s">
        <v>374</v>
      </c>
      <c r="F61" s="2" t="n">
        <v>143</v>
      </c>
      <c r="G61" s="2" t="n">
        <v>0.14</v>
      </c>
      <c r="H61" s="2" t="n">
        <v>6.85</v>
      </c>
      <c r="I61" s="2" t="n">
        <v>0.17</v>
      </c>
      <c r="J61" s="2" t="n">
        <v>1.07</v>
      </c>
      <c r="K61" s="2" t="n">
        <v>4.05</v>
      </c>
      <c r="L61" s="2" t="n">
        <v>0.2</v>
      </c>
      <c r="M61" s="2" t="n">
        <v>0.7</v>
      </c>
      <c r="N61" s="2" t="n">
        <v>10.4</v>
      </c>
    </row>
    <row r="62" customFormat="false" ht="15" hidden="false" customHeight="false" outlineLevel="0" collapsed="false">
      <c r="A62" s="2" t="s">
        <v>153</v>
      </c>
      <c r="B62" s="2" t="n">
        <v>2009</v>
      </c>
      <c r="C62" s="2" t="s">
        <v>61</v>
      </c>
      <c r="D62" s="2" t="s">
        <v>31</v>
      </c>
      <c r="E62" s="2" t="s">
        <v>375</v>
      </c>
      <c r="F62" s="2" t="n">
        <v>144</v>
      </c>
      <c r="G62" s="2" t="n">
        <v>0.14</v>
      </c>
      <c r="H62" s="2" t="n">
        <v>8.12</v>
      </c>
      <c r="I62" s="2" t="n">
        <v>0.17</v>
      </c>
      <c r="J62" s="2" t="n">
        <v>1.09</v>
      </c>
      <c r="K62" s="2" t="n">
        <v>4.11</v>
      </c>
      <c r="L62" s="2" t="n">
        <v>0.2</v>
      </c>
      <c r="M62" s="2" t="n">
        <v>0.73</v>
      </c>
      <c r="N62" s="2" t="n">
        <v>10.41</v>
      </c>
    </row>
    <row r="63" customFormat="false" ht="15" hidden="false" customHeight="false" outlineLevel="0" collapsed="false">
      <c r="A63" s="2" t="s">
        <v>155</v>
      </c>
      <c r="B63" s="2" t="n">
        <v>2009</v>
      </c>
      <c r="C63" s="2" t="s">
        <v>61</v>
      </c>
      <c r="D63" s="2" t="s">
        <v>31</v>
      </c>
      <c r="E63" s="2" t="s">
        <v>376</v>
      </c>
      <c r="F63" s="2" t="n">
        <v>145</v>
      </c>
      <c r="G63" s="2" t="n">
        <v>0.14</v>
      </c>
      <c r="H63" s="2" t="n">
        <v>8.2</v>
      </c>
      <c r="I63" s="2" t="n">
        <v>0.16</v>
      </c>
      <c r="J63" s="2" t="n">
        <v>1.22</v>
      </c>
      <c r="K63" s="2" t="n">
        <v>4.45</v>
      </c>
      <c r="L63" s="2" t="n">
        <v>0.19</v>
      </c>
      <c r="M63" s="2" t="n">
        <v>0.81</v>
      </c>
      <c r="N63" s="2" t="n">
        <v>13.68</v>
      </c>
    </row>
    <row r="64" customFormat="false" ht="15" hidden="false" customHeight="false" outlineLevel="0" collapsed="false">
      <c r="A64" s="2" t="s">
        <v>157</v>
      </c>
      <c r="B64" s="2" t="n">
        <v>2009</v>
      </c>
      <c r="C64" s="2" t="s">
        <v>61</v>
      </c>
      <c r="D64" s="2" t="s">
        <v>31</v>
      </c>
      <c r="E64" s="2" t="s">
        <v>377</v>
      </c>
      <c r="F64" s="2" t="n">
        <v>146</v>
      </c>
      <c r="G64" s="2" t="n">
        <v>0.14</v>
      </c>
      <c r="H64" s="2" t="n">
        <v>6.55</v>
      </c>
      <c r="I64" s="2" t="n">
        <v>0.16</v>
      </c>
      <c r="J64" s="2" t="n">
        <v>1.1</v>
      </c>
      <c r="K64" s="2" t="n">
        <v>3.07</v>
      </c>
      <c r="L64" s="2" t="n">
        <v>0.19</v>
      </c>
      <c r="M64" s="2" t="n">
        <v>0.79</v>
      </c>
      <c r="N64" s="2" t="n">
        <v>12.55</v>
      </c>
    </row>
    <row r="65" customFormat="false" ht="15" hidden="false" customHeight="false" outlineLevel="0" collapsed="false">
      <c r="A65" s="2" t="s">
        <v>159</v>
      </c>
      <c r="B65" s="2" t="n">
        <v>2009</v>
      </c>
      <c r="C65" s="2" t="s">
        <v>61</v>
      </c>
      <c r="D65" s="2" t="s">
        <v>31</v>
      </c>
      <c r="E65" s="2" t="s">
        <v>378</v>
      </c>
      <c r="F65" s="2" t="n">
        <v>147</v>
      </c>
      <c r="G65" s="2" t="n">
        <v>0.14</v>
      </c>
      <c r="H65" s="2" t="n">
        <v>9.02</v>
      </c>
      <c r="I65" s="2" t="n">
        <v>0.16</v>
      </c>
      <c r="J65" s="2" t="n">
        <v>1.19</v>
      </c>
      <c r="K65" s="2" t="n">
        <v>4.53</v>
      </c>
      <c r="L65" s="2" t="n">
        <v>0.19</v>
      </c>
      <c r="M65" s="2" t="n">
        <v>0.78</v>
      </c>
      <c r="N65" s="2" t="n">
        <v>12.42</v>
      </c>
    </row>
    <row r="66" customFormat="false" ht="15" hidden="false" customHeight="false" outlineLevel="0" collapsed="false">
      <c r="A66" s="2" t="s">
        <v>161</v>
      </c>
      <c r="B66" s="2" t="n">
        <v>2009</v>
      </c>
      <c r="C66" s="2" t="s">
        <v>61</v>
      </c>
      <c r="D66" s="2" t="s">
        <v>31</v>
      </c>
      <c r="E66" s="2" t="s">
        <v>379</v>
      </c>
      <c r="F66" s="2" t="n">
        <v>149</v>
      </c>
      <c r="G66" s="2" t="n">
        <v>0.14</v>
      </c>
      <c r="H66" s="2" t="n">
        <v>8.47</v>
      </c>
      <c r="I66" s="2" t="n">
        <v>0.17</v>
      </c>
      <c r="J66" s="2" t="n">
        <v>1.32</v>
      </c>
      <c r="K66" s="2" t="n">
        <v>4.27</v>
      </c>
      <c r="L66" s="2" t="n">
        <v>0.2</v>
      </c>
      <c r="M66" s="2" t="n">
        <v>0.68</v>
      </c>
      <c r="N66" s="2" t="n">
        <v>8.56</v>
      </c>
    </row>
    <row r="67" customFormat="false" ht="15" hidden="false" customHeight="false" outlineLevel="0" collapsed="false">
      <c r="A67" s="2" t="s">
        <v>163</v>
      </c>
      <c r="B67" s="2" t="n">
        <v>2009</v>
      </c>
      <c r="C67" s="2" t="s">
        <v>61</v>
      </c>
      <c r="D67" s="2" t="s">
        <v>31</v>
      </c>
      <c r="E67" s="2" t="s">
        <v>380</v>
      </c>
      <c r="F67" s="2" t="n">
        <v>150</v>
      </c>
      <c r="G67" s="2" t="n">
        <v>0.14</v>
      </c>
      <c r="H67" s="2" t="n">
        <v>8.74</v>
      </c>
      <c r="I67" s="2" t="n">
        <v>0.17</v>
      </c>
      <c r="J67" s="2" t="n">
        <v>1.33</v>
      </c>
      <c r="K67" s="2" t="n">
        <v>4.55</v>
      </c>
      <c r="L67" s="2" t="n">
        <v>0.2</v>
      </c>
      <c r="M67" s="2" t="n">
        <v>0.74</v>
      </c>
      <c r="N67" s="2" t="n">
        <v>10.8</v>
      </c>
    </row>
    <row r="68" customFormat="false" ht="15" hidden="false" customHeight="false" outlineLevel="0" collapsed="false">
      <c r="A68" s="2" t="s">
        <v>165</v>
      </c>
      <c r="B68" s="2" t="n">
        <v>2009</v>
      </c>
      <c r="C68" s="2" t="s">
        <v>61</v>
      </c>
      <c r="D68" s="2" t="s">
        <v>31</v>
      </c>
      <c r="E68" s="2" t="s">
        <v>381</v>
      </c>
      <c r="F68" s="2" t="n">
        <v>151</v>
      </c>
      <c r="G68" s="2" t="n">
        <v>0.14</v>
      </c>
      <c r="H68" s="2" t="n">
        <v>9.42</v>
      </c>
      <c r="I68" s="2" t="n">
        <v>0.16</v>
      </c>
      <c r="J68" s="2" t="n">
        <v>1.2</v>
      </c>
      <c r="K68" s="2" t="n">
        <v>4.53</v>
      </c>
      <c r="L68" s="2" t="n">
        <v>0.19</v>
      </c>
      <c r="M68" s="2" t="n">
        <v>0.78</v>
      </c>
      <c r="N68" s="2" t="n">
        <v>12.24</v>
      </c>
    </row>
    <row r="69" customFormat="false" ht="15" hidden="false" customHeight="false" outlineLevel="0" collapsed="false">
      <c r="A69" s="2" t="s">
        <v>167</v>
      </c>
      <c r="B69" s="2" t="n">
        <v>2009</v>
      </c>
      <c r="C69" s="2" t="s">
        <v>61</v>
      </c>
      <c r="D69" s="2" t="s">
        <v>31</v>
      </c>
      <c r="E69" s="2" t="s">
        <v>382</v>
      </c>
      <c r="F69" s="2" t="n">
        <v>152</v>
      </c>
      <c r="G69" s="2" t="n">
        <v>0.14</v>
      </c>
      <c r="H69" s="2" t="n">
        <v>10.32</v>
      </c>
      <c r="I69" s="2" t="n">
        <v>0.16</v>
      </c>
      <c r="J69" s="2" t="n">
        <v>1.23</v>
      </c>
      <c r="K69" s="2" t="n">
        <v>4.26</v>
      </c>
      <c r="L69" s="2" t="n">
        <v>0.19</v>
      </c>
      <c r="M69" s="2" t="n">
        <v>0.83</v>
      </c>
      <c r="N69" s="2" t="n">
        <v>16.4</v>
      </c>
    </row>
    <row r="70" customFormat="false" ht="15" hidden="false" customHeight="false" outlineLevel="0" collapsed="false">
      <c r="A70" s="2" t="s">
        <v>169</v>
      </c>
      <c r="B70" s="2" t="n">
        <v>2009</v>
      </c>
      <c r="C70" s="2" t="s">
        <v>61</v>
      </c>
      <c r="D70" s="2" t="s">
        <v>31</v>
      </c>
      <c r="E70" s="2" t="s">
        <v>383</v>
      </c>
      <c r="F70" s="2" t="n">
        <v>153</v>
      </c>
      <c r="G70" s="2" t="n">
        <v>0.14</v>
      </c>
      <c r="H70" s="2" t="n">
        <v>9.47</v>
      </c>
      <c r="I70" s="2" t="n">
        <v>0.16</v>
      </c>
      <c r="J70" s="2" t="n">
        <v>1.13</v>
      </c>
      <c r="K70" s="2" t="n">
        <v>4.11</v>
      </c>
      <c r="L70" s="2" t="n">
        <v>0.2</v>
      </c>
      <c r="M70" s="2" t="n">
        <v>0.76</v>
      </c>
      <c r="N70" s="2" t="n">
        <v>11.12</v>
      </c>
    </row>
    <row r="71" customFormat="false" ht="15" hidden="false" customHeight="false" outlineLevel="0" collapsed="false">
      <c r="A71" s="2" t="s">
        <v>171</v>
      </c>
      <c r="B71" s="2" t="n">
        <v>2009</v>
      </c>
      <c r="C71" s="2" t="s">
        <v>61</v>
      </c>
      <c r="D71" s="2" t="s">
        <v>31</v>
      </c>
      <c r="E71" s="2" t="s">
        <v>384</v>
      </c>
      <c r="F71" s="2" t="n">
        <v>154</v>
      </c>
      <c r="G71" s="2" t="n">
        <v>0.14</v>
      </c>
      <c r="H71" s="2" t="n">
        <v>8.77</v>
      </c>
      <c r="I71" s="2" t="n">
        <v>0.16</v>
      </c>
      <c r="J71" s="2" t="n">
        <v>1.17</v>
      </c>
      <c r="K71" s="2" t="n">
        <v>4.47</v>
      </c>
      <c r="L71" s="2" t="n">
        <v>0.19</v>
      </c>
      <c r="M71" s="2" t="n">
        <v>0.8</v>
      </c>
      <c r="N71" s="2" t="n">
        <v>10.82</v>
      </c>
    </row>
    <row r="72" customFormat="false" ht="15" hidden="false" customHeight="false" outlineLevel="0" collapsed="false">
      <c r="A72" s="2" t="s">
        <v>173</v>
      </c>
      <c r="B72" s="2" t="n">
        <v>2009</v>
      </c>
      <c r="C72" s="2" t="s">
        <v>61</v>
      </c>
      <c r="D72" s="2" t="s">
        <v>31</v>
      </c>
      <c r="E72" s="2" t="s">
        <v>385</v>
      </c>
      <c r="F72" s="2" t="n">
        <v>156</v>
      </c>
      <c r="G72" s="2" t="n">
        <v>0.14</v>
      </c>
      <c r="H72" s="2" t="n">
        <v>7.79</v>
      </c>
      <c r="I72" s="2" t="n">
        <v>0.17</v>
      </c>
      <c r="J72" s="2" t="n">
        <v>1.27</v>
      </c>
      <c r="K72" s="2" t="n">
        <v>3.7</v>
      </c>
      <c r="L72" s="2" t="n">
        <v>0.2</v>
      </c>
      <c r="M72" s="2" t="n">
        <v>0.63</v>
      </c>
      <c r="N72" s="2" t="n">
        <v>8.73</v>
      </c>
    </row>
    <row r="73" customFormat="false" ht="15" hidden="false" customHeight="false" outlineLevel="0" collapsed="false">
      <c r="A73" s="2" t="s">
        <v>175</v>
      </c>
      <c r="B73" s="2" t="n">
        <v>2009</v>
      </c>
      <c r="C73" s="2" t="s">
        <v>61</v>
      </c>
      <c r="D73" s="2" t="s">
        <v>31</v>
      </c>
      <c r="E73" s="2" t="s">
        <v>386</v>
      </c>
      <c r="F73" s="2" t="n">
        <v>157</v>
      </c>
      <c r="G73" s="2" t="n">
        <v>0.14</v>
      </c>
      <c r="H73" s="2" t="n">
        <v>6.16</v>
      </c>
      <c r="I73" s="2" t="n">
        <v>0.17</v>
      </c>
      <c r="J73" s="2" t="n">
        <v>1.18</v>
      </c>
      <c r="K73" s="2" t="n">
        <v>4.2</v>
      </c>
      <c r="L73" s="2" t="n">
        <v>0.2</v>
      </c>
      <c r="M73" s="2" t="n">
        <v>0.63</v>
      </c>
      <c r="N73" s="2" t="n">
        <v>8.11</v>
      </c>
    </row>
    <row r="74" customFormat="false" ht="15" hidden="false" customHeight="false" outlineLevel="0" collapsed="false">
      <c r="A74" s="2" t="s">
        <v>177</v>
      </c>
      <c r="B74" s="2" t="n">
        <v>2009</v>
      </c>
      <c r="C74" s="2" t="s">
        <v>61</v>
      </c>
      <c r="D74" s="2" t="s">
        <v>31</v>
      </c>
      <c r="E74" s="2" t="s">
        <v>387</v>
      </c>
      <c r="F74" s="2" t="n">
        <v>158</v>
      </c>
      <c r="G74" s="2" t="n">
        <v>0.14</v>
      </c>
      <c r="H74" s="2" t="n">
        <v>8.32</v>
      </c>
      <c r="I74" s="2" t="n">
        <v>0.16</v>
      </c>
      <c r="J74" s="2" t="n">
        <v>1.11</v>
      </c>
      <c r="K74" s="2" t="n">
        <v>4.73</v>
      </c>
      <c r="L74" s="2" t="n">
        <v>0.19</v>
      </c>
      <c r="M74" s="2" t="n">
        <v>0.77</v>
      </c>
      <c r="N74" s="2" t="n">
        <v>14.72</v>
      </c>
    </row>
    <row r="75" customFormat="false" ht="15" hidden="false" customHeight="false" outlineLevel="0" collapsed="false">
      <c r="A75" s="2" t="s">
        <v>179</v>
      </c>
      <c r="B75" s="2" t="n">
        <v>2009</v>
      </c>
      <c r="C75" s="2" t="s">
        <v>61</v>
      </c>
      <c r="D75" s="2" t="s">
        <v>31</v>
      </c>
      <c r="E75" s="2" t="s">
        <v>388</v>
      </c>
      <c r="F75" s="2" t="n">
        <v>159</v>
      </c>
      <c r="G75" s="2" t="n">
        <v>0.14</v>
      </c>
      <c r="H75" s="2" t="n">
        <v>9.98</v>
      </c>
      <c r="I75" s="2" t="n">
        <v>0.17</v>
      </c>
      <c r="J75" s="2" t="n">
        <v>1.28</v>
      </c>
      <c r="K75" s="2" t="n">
        <v>4.32</v>
      </c>
      <c r="L75" s="2" t="n">
        <v>0.2</v>
      </c>
      <c r="M75" s="2" t="n">
        <v>0.73</v>
      </c>
      <c r="N75" s="2" t="n">
        <v>10.29</v>
      </c>
    </row>
    <row r="76" customFormat="false" ht="15" hidden="false" customHeight="false" outlineLevel="0" collapsed="false">
      <c r="A76" s="2" t="s">
        <v>181</v>
      </c>
      <c r="B76" s="2" t="n">
        <v>2009</v>
      </c>
      <c r="C76" s="2" t="s">
        <v>61</v>
      </c>
      <c r="D76" s="2" t="s">
        <v>31</v>
      </c>
      <c r="E76" s="2" t="s">
        <v>389</v>
      </c>
      <c r="F76" s="2" t="n">
        <v>160</v>
      </c>
      <c r="G76" s="2" t="n">
        <v>0.14</v>
      </c>
      <c r="H76" s="2" t="n">
        <v>8.24</v>
      </c>
      <c r="I76" s="2" t="n">
        <v>0.16</v>
      </c>
      <c r="J76" s="2" t="n">
        <v>1.37</v>
      </c>
      <c r="K76" s="2" t="n">
        <v>4.4</v>
      </c>
      <c r="L76" s="2" t="n">
        <v>0.19</v>
      </c>
      <c r="M76" s="2" t="n">
        <v>0.77</v>
      </c>
      <c r="N76" s="2" t="n">
        <v>11.47</v>
      </c>
    </row>
    <row r="77" customFormat="false" ht="15" hidden="false" customHeight="false" outlineLevel="0" collapsed="false">
      <c r="A77" s="2" t="s">
        <v>183</v>
      </c>
      <c r="B77" s="2" t="n">
        <v>2009</v>
      </c>
      <c r="C77" s="2" t="s">
        <v>61</v>
      </c>
      <c r="D77" s="2" t="s">
        <v>31</v>
      </c>
      <c r="E77" s="2" t="s">
        <v>390</v>
      </c>
      <c r="F77" s="2" t="n">
        <v>161</v>
      </c>
      <c r="G77" s="2" t="n">
        <v>0.14</v>
      </c>
      <c r="H77" s="2" t="n">
        <v>8.45</v>
      </c>
      <c r="I77" s="2" t="n">
        <v>0.16</v>
      </c>
      <c r="J77" s="2" t="n">
        <v>1.36</v>
      </c>
      <c r="K77" s="2" t="n">
        <v>5.24</v>
      </c>
      <c r="L77" s="2" t="n">
        <v>0.19</v>
      </c>
      <c r="M77" s="2" t="n">
        <v>0.8</v>
      </c>
      <c r="N77" s="2" t="n">
        <v>15.22</v>
      </c>
    </row>
    <row r="78" customFormat="false" ht="15" hidden="false" customHeight="false" outlineLevel="0" collapsed="false">
      <c r="A78" s="2" t="s">
        <v>185</v>
      </c>
      <c r="B78" s="2" t="n">
        <v>2009</v>
      </c>
      <c r="C78" s="2" t="s">
        <v>61</v>
      </c>
      <c r="D78" s="2" t="s">
        <v>31</v>
      </c>
      <c r="E78" s="2" t="s">
        <v>391</v>
      </c>
      <c r="F78" s="2" t="n">
        <v>162</v>
      </c>
      <c r="G78" s="2" t="n">
        <v>0.14</v>
      </c>
      <c r="H78" s="2" t="n">
        <v>9.87</v>
      </c>
      <c r="I78" s="2" t="n">
        <v>0.17</v>
      </c>
      <c r="J78" s="2" t="n">
        <v>1.27</v>
      </c>
      <c r="K78" s="2" t="n">
        <v>3.99</v>
      </c>
      <c r="L78" s="2" t="n">
        <v>0.2</v>
      </c>
      <c r="M78" s="2" t="n">
        <v>0.75</v>
      </c>
      <c r="N78" s="2" t="n">
        <v>14.38</v>
      </c>
    </row>
    <row r="79" customFormat="false" ht="15" hidden="false" customHeight="false" outlineLevel="0" collapsed="false">
      <c r="A79" s="2" t="s">
        <v>187</v>
      </c>
      <c r="B79" s="2" t="n">
        <v>2009</v>
      </c>
      <c r="C79" s="2" t="s">
        <v>61</v>
      </c>
      <c r="D79" s="2" t="s">
        <v>31</v>
      </c>
      <c r="E79" s="2" t="s">
        <v>392</v>
      </c>
      <c r="F79" s="2" t="n">
        <v>163</v>
      </c>
      <c r="G79" s="2" t="n">
        <v>0.14</v>
      </c>
      <c r="H79" s="2" t="n">
        <v>7.49</v>
      </c>
      <c r="I79" s="2" t="n">
        <v>0.17</v>
      </c>
      <c r="J79" s="2" t="n">
        <v>1.31</v>
      </c>
      <c r="K79" s="2" t="n">
        <v>3.74</v>
      </c>
      <c r="L79" s="2" t="n">
        <v>0.2</v>
      </c>
      <c r="M79" s="2" t="n">
        <v>0.63</v>
      </c>
      <c r="N79" s="2" t="n">
        <v>8.15</v>
      </c>
    </row>
    <row r="80" customFormat="false" ht="15" hidden="false" customHeight="false" outlineLevel="0" collapsed="false">
      <c r="A80" s="2" t="s">
        <v>189</v>
      </c>
      <c r="B80" s="2" t="n">
        <v>2009</v>
      </c>
      <c r="C80" s="2" t="s">
        <v>61</v>
      </c>
      <c r="D80" s="2" t="s">
        <v>31</v>
      </c>
      <c r="E80" s="2" t="s">
        <v>393</v>
      </c>
      <c r="F80" s="2" t="n">
        <v>164</v>
      </c>
      <c r="G80" s="2" t="n">
        <v>0.14</v>
      </c>
      <c r="H80" s="2" t="n">
        <v>8.74</v>
      </c>
      <c r="I80" s="2" t="n">
        <v>0.16</v>
      </c>
      <c r="J80" s="2" t="n">
        <v>1.21</v>
      </c>
      <c r="K80" s="2" t="n">
        <v>4.56</v>
      </c>
      <c r="L80" s="2" t="n">
        <v>0.19</v>
      </c>
      <c r="M80" s="2" t="n">
        <v>0.79</v>
      </c>
      <c r="N80" s="2" t="n">
        <v>11.65</v>
      </c>
    </row>
    <row r="81" customFormat="false" ht="15" hidden="false" customHeight="false" outlineLevel="0" collapsed="false">
      <c r="A81" s="2" t="s">
        <v>191</v>
      </c>
      <c r="B81" s="2" t="n">
        <v>2009</v>
      </c>
      <c r="C81" s="2" t="s">
        <v>61</v>
      </c>
      <c r="D81" s="2" t="s">
        <v>31</v>
      </c>
      <c r="E81" s="2" t="s">
        <v>394</v>
      </c>
      <c r="F81" s="2" t="n">
        <v>166</v>
      </c>
      <c r="G81" s="2" t="n">
        <v>0.14</v>
      </c>
      <c r="H81" s="2" t="n">
        <v>6.55</v>
      </c>
      <c r="I81" s="2" t="n">
        <v>0.17</v>
      </c>
      <c r="J81" s="2" t="n">
        <v>1.08</v>
      </c>
      <c r="K81" s="2" t="n">
        <v>3.78</v>
      </c>
      <c r="L81" s="2" t="n">
        <v>0.2</v>
      </c>
      <c r="M81" s="2" t="n">
        <v>0.64</v>
      </c>
      <c r="N81" s="2" t="n">
        <v>8.52</v>
      </c>
    </row>
    <row r="82" customFormat="false" ht="15" hidden="false" customHeight="false" outlineLevel="0" collapsed="false">
      <c r="A82" s="2" t="s">
        <v>193</v>
      </c>
      <c r="B82" s="2" t="n">
        <v>2009</v>
      </c>
      <c r="C82" s="2" t="s">
        <v>61</v>
      </c>
      <c r="D82" s="2" t="s">
        <v>31</v>
      </c>
      <c r="E82" s="2" t="s">
        <v>395</v>
      </c>
      <c r="F82" s="2" t="n">
        <v>167</v>
      </c>
      <c r="G82" s="2" t="n">
        <v>0.14</v>
      </c>
      <c r="H82" s="2" t="n">
        <v>8.14</v>
      </c>
      <c r="I82" s="2" t="n">
        <v>0.17</v>
      </c>
      <c r="J82" s="2" t="n">
        <v>1.26</v>
      </c>
      <c r="K82" s="2" t="n">
        <v>4.37</v>
      </c>
      <c r="L82" s="2" t="n">
        <v>0.2</v>
      </c>
      <c r="M82" s="2" t="n">
        <v>0.77</v>
      </c>
      <c r="N82" s="2" t="n">
        <v>11.13</v>
      </c>
    </row>
    <row r="83" customFormat="false" ht="15" hidden="false" customHeight="false" outlineLevel="0" collapsed="false">
      <c r="A83" s="2" t="s">
        <v>195</v>
      </c>
      <c r="B83" s="2" t="n">
        <v>2009</v>
      </c>
      <c r="C83" s="2" t="s">
        <v>61</v>
      </c>
      <c r="D83" s="2" t="s">
        <v>31</v>
      </c>
      <c r="E83" s="2" t="s">
        <v>396</v>
      </c>
      <c r="F83" s="2" t="n">
        <v>168</v>
      </c>
      <c r="G83" s="2" t="n">
        <v>0.14</v>
      </c>
      <c r="H83" s="2" t="n">
        <v>6.85</v>
      </c>
      <c r="I83" s="2" t="n">
        <v>0.17</v>
      </c>
      <c r="J83" s="2" t="n">
        <v>1.23</v>
      </c>
      <c r="K83" s="2" t="n">
        <v>4.22</v>
      </c>
      <c r="L83" s="2" t="n">
        <v>0.2</v>
      </c>
      <c r="M83" s="2" t="n">
        <v>0.67</v>
      </c>
      <c r="N83" s="2" t="n">
        <v>9.75</v>
      </c>
    </row>
    <row r="84" customFormat="false" ht="15" hidden="false" customHeight="false" outlineLevel="0" collapsed="false">
      <c r="A84" s="2" t="s">
        <v>197</v>
      </c>
      <c r="B84" s="2" t="n">
        <v>2009</v>
      </c>
      <c r="C84" s="2" t="s">
        <v>61</v>
      </c>
      <c r="D84" s="2" t="s">
        <v>31</v>
      </c>
      <c r="E84" s="2" t="s">
        <v>397</v>
      </c>
      <c r="F84" s="2" t="n">
        <v>169</v>
      </c>
      <c r="G84" s="2" t="n">
        <v>0.14</v>
      </c>
      <c r="H84" s="2" t="n">
        <v>9.55</v>
      </c>
      <c r="I84" s="2" t="n">
        <v>0.16</v>
      </c>
      <c r="J84" s="2" t="n">
        <v>1.24</v>
      </c>
      <c r="K84" s="2" t="n">
        <v>5.19</v>
      </c>
      <c r="L84" s="2" t="n">
        <v>0.19</v>
      </c>
      <c r="M84" s="2" t="n">
        <v>0.86</v>
      </c>
      <c r="N84" s="2" t="n">
        <v>13.84</v>
      </c>
    </row>
    <row r="85" customFormat="false" ht="15" hidden="false" customHeight="false" outlineLevel="0" collapsed="false">
      <c r="A85" s="2" t="s">
        <v>199</v>
      </c>
      <c r="B85" s="2" t="n">
        <v>2009</v>
      </c>
      <c r="C85" s="2" t="s">
        <v>61</v>
      </c>
      <c r="D85" s="2" t="s">
        <v>31</v>
      </c>
      <c r="E85" s="2" t="s">
        <v>398</v>
      </c>
      <c r="F85" s="2" t="n">
        <v>171</v>
      </c>
      <c r="G85" s="2" t="n">
        <v>0.14</v>
      </c>
      <c r="H85" s="2" t="n">
        <v>5.55</v>
      </c>
      <c r="I85" s="2" t="n">
        <v>0.17</v>
      </c>
      <c r="J85" s="2" t="n">
        <v>1.07</v>
      </c>
      <c r="K85" s="2" t="n">
        <v>3.31</v>
      </c>
      <c r="L85" s="2" t="n">
        <v>0.21</v>
      </c>
      <c r="M85" s="2" t="n">
        <v>0.57</v>
      </c>
      <c r="N85" s="2" t="n">
        <v>7.61</v>
      </c>
    </row>
    <row r="86" customFormat="false" ht="15" hidden="false" customHeight="false" outlineLevel="0" collapsed="false">
      <c r="A86" s="2" t="s">
        <v>201</v>
      </c>
      <c r="B86" s="2" t="n">
        <v>2009</v>
      </c>
      <c r="C86" s="2" t="s">
        <v>61</v>
      </c>
      <c r="D86" s="2" t="s">
        <v>31</v>
      </c>
      <c r="E86" s="2" t="s">
        <v>399</v>
      </c>
      <c r="F86" s="2" t="n">
        <v>172</v>
      </c>
      <c r="G86" s="2" t="n">
        <v>0.14</v>
      </c>
      <c r="H86" s="2" t="n">
        <v>5.81</v>
      </c>
      <c r="I86" s="2" t="n">
        <v>0.17</v>
      </c>
      <c r="J86" s="2" t="n">
        <v>1.19</v>
      </c>
      <c r="K86" s="2" t="n">
        <v>3.54</v>
      </c>
      <c r="L86" s="2" t="n">
        <v>0.2</v>
      </c>
      <c r="M86" s="2" t="n">
        <v>0.61</v>
      </c>
      <c r="N86" s="2" t="n">
        <v>8.4</v>
      </c>
    </row>
    <row r="87" customFormat="false" ht="15" hidden="false" customHeight="false" outlineLevel="0" collapsed="false">
      <c r="A87" s="2" t="s">
        <v>203</v>
      </c>
      <c r="B87" s="2" t="n">
        <v>2009</v>
      </c>
      <c r="C87" s="2" t="s">
        <v>61</v>
      </c>
      <c r="D87" s="2" t="s">
        <v>31</v>
      </c>
      <c r="E87" s="2" t="s">
        <v>400</v>
      </c>
      <c r="F87" s="2" t="n">
        <v>173</v>
      </c>
      <c r="G87" s="2" t="n">
        <v>0.14</v>
      </c>
      <c r="H87" s="2" t="n">
        <v>7.94</v>
      </c>
      <c r="I87" s="2" t="n">
        <v>0.16</v>
      </c>
      <c r="J87" s="2" t="n">
        <v>1.31</v>
      </c>
      <c r="K87" s="2" t="n">
        <v>4.71</v>
      </c>
      <c r="L87" s="2" t="n">
        <v>0.19</v>
      </c>
      <c r="M87" s="2" t="n">
        <v>0.84</v>
      </c>
      <c r="N87" s="2" t="n">
        <v>18.29</v>
      </c>
    </row>
    <row r="88" customFormat="false" ht="15" hidden="false" customHeight="false" outlineLevel="0" collapsed="false">
      <c r="A88" s="2" t="s">
        <v>205</v>
      </c>
      <c r="B88" s="2" t="n">
        <v>2009</v>
      </c>
      <c r="C88" s="2" t="s">
        <v>61</v>
      </c>
      <c r="D88" s="2" t="s">
        <v>31</v>
      </c>
      <c r="E88" s="2" t="s">
        <v>401</v>
      </c>
      <c r="F88" s="2" t="n">
        <v>174</v>
      </c>
      <c r="G88" s="2" t="n">
        <v>0.14</v>
      </c>
      <c r="H88" s="2" t="n">
        <v>8.75</v>
      </c>
      <c r="I88" s="2" t="n">
        <v>0.16</v>
      </c>
      <c r="J88" s="2" t="n">
        <v>1.28</v>
      </c>
      <c r="K88" s="2" t="n">
        <v>4.46</v>
      </c>
      <c r="L88" s="2" t="n">
        <v>0.19</v>
      </c>
      <c r="M88" s="2" t="n">
        <v>0.8</v>
      </c>
      <c r="N88" s="2" t="n">
        <v>10.77</v>
      </c>
    </row>
    <row r="89" customFormat="false" ht="15" hidden="false" customHeight="false" outlineLevel="0" collapsed="false">
      <c r="A89" s="2" t="s">
        <v>207</v>
      </c>
      <c r="B89" s="2" t="n">
        <v>2009</v>
      </c>
      <c r="C89" s="2" t="s">
        <v>61</v>
      </c>
      <c r="D89" s="2" t="s">
        <v>31</v>
      </c>
      <c r="E89" s="2" t="s">
        <v>402</v>
      </c>
      <c r="F89" s="2" t="n">
        <v>175</v>
      </c>
      <c r="G89" s="2" t="n">
        <v>0.14</v>
      </c>
      <c r="H89" s="2" t="n">
        <v>3.47</v>
      </c>
      <c r="I89" s="2" t="n">
        <v>0.17</v>
      </c>
      <c r="J89" s="2" t="n">
        <v>0.86</v>
      </c>
      <c r="K89" s="2" t="n">
        <v>2.95</v>
      </c>
      <c r="L89" s="2" t="n">
        <v>0.22</v>
      </c>
      <c r="M89" s="2" t="n">
        <v>0.52</v>
      </c>
      <c r="N89" s="2" t="n">
        <v>4.47</v>
      </c>
    </row>
    <row r="90" customFormat="false" ht="15" hidden="false" customHeight="false" outlineLevel="0" collapsed="false">
      <c r="A90" s="2" t="s">
        <v>209</v>
      </c>
      <c r="B90" s="2" t="n">
        <v>2009</v>
      </c>
      <c r="C90" s="2" t="s">
        <v>210</v>
      </c>
      <c r="D90" s="2" t="s">
        <v>31</v>
      </c>
      <c r="E90" s="2" t="s">
        <v>403</v>
      </c>
      <c r="F90" s="2" t="n">
        <v>11</v>
      </c>
      <c r="G90" s="2" t="n">
        <v>0.14</v>
      </c>
      <c r="H90" s="2" t="n">
        <v>9.13</v>
      </c>
      <c r="I90" s="2" t="n">
        <v>0.17</v>
      </c>
      <c r="J90" s="2" t="n">
        <v>1.2</v>
      </c>
      <c r="K90" s="2" t="n">
        <v>5.27</v>
      </c>
      <c r="L90" s="2" t="n">
        <v>0.2</v>
      </c>
      <c r="M90" s="2" t="n">
        <v>0.75</v>
      </c>
      <c r="N90" s="2" t="n">
        <v>12.09</v>
      </c>
    </row>
    <row r="91" customFormat="false" ht="15" hidden="false" customHeight="false" outlineLevel="0" collapsed="false">
      <c r="A91" s="2" t="s">
        <v>212</v>
      </c>
      <c r="B91" s="2" t="n">
        <v>2009</v>
      </c>
      <c r="C91" s="2" t="s">
        <v>210</v>
      </c>
      <c r="D91" s="2" t="s">
        <v>31</v>
      </c>
      <c r="E91" s="2" t="s">
        <v>404</v>
      </c>
      <c r="F91" s="2" t="n">
        <v>12</v>
      </c>
      <c r="G91" s="2" t="n">
        <v>0.14</v>
      </c>
      <c r="H91" s="2" t="n">
        <v>9.72</v>
      </c>
      <c r="I91" s="2" t="n">
        <v>0.17</v>
      </c>
      <c r="J91" s="2" t="n">
        <v>1.2</v>
      </c>
      <c r="K91" s="2" t="n">
        <v>4.92</v>
      </c>
      <c r="L91" s="2" t="n">
        <v>0.2</v>
      </c>
      <c r="M91" s="2" t="n">
        <v>0.77</v>
      </c>
      <c r="N91" s="2" t="n">
        <v>12.64</v>
      </c>
    </row>
    <row r="92" customFormat="false" ht="15" hidden="false" customHeight="false" outlineLevel="0" collapsed="false">
      <c r="A92" s="2" t="s">
        <v>214</v>
      </c>
      <c r="B92" s="2" t="n">
        <v>2009</v>
      </c>
      <c r="C92" s="2" t="s">
        <v>210</v>
      </c>
      <c r="D92" s="2" t="s">
        <v>31</v>
      </c>
      <c r="E92" s="2" t="s">
        <v>405</v>
      </c>
      <c r="F92" s="2" t="n">
        <v>13</v>
      </c>
      <c r="G92" s="2" t="n">
        <v>0.14</v>
      </c>
      <c r="H92" s="2" t="n">
        <v>9.24</v>
      </c>
      <c r="I92" s="2" t="n">
        <v>0.17</v>
      </c>
      <c r="J92" s="2" t="n">
        <v>1.21</v>
      </c>
      <c r="K92" s="2" t="n">
        <v>5.11</v>
      </c>
      <c r="L92" s="2" t="n">
        <v>0.2</v>
      </c>
      <c r="M92" s="2" t="n">
        <v>0.79</v>
      </c>
      <c r="N92" s="2" t="n">
        <v>13.71</v>
      </c>
    </row>
    <row r="93" customFormat="false" ht="15" hidden="false" customHeight="false" outlineLevel="0" collapsed="false">
      <c r="A93" s="2" t="s">
        <v>216</v>
      </c>
      <c r="B93" s="2" t="n">
        <v>2009</v>
      </c>
      <c r="C93" s="2" t="s">
        <v>210</v>
      </c>
      <c r="D93" s="2" t="s">
        <v>31</v>
      </c>
      <c r="E93" s="2" t="s">
        <v>406</v>
      </c>
      <c r="F93" s="2" t="n">
        <v>15</v>
      </c>
      <c r="G93" s="2" t="n">
        <v>0.14</v>
      </c>
      <c r="H93" s="2" t="n">
        <v>4.26</v>
      </c>
      <c r="I93" s="2" t="n">
        <v>0.17</v>
      </c>
      <c r="J93" s="2" t="n">
        <v>0.93</v>
      </c>
      <c r="K93" s="2" t="n">
        <v>3.16</v>
      </c>
      <c r="L93" s="2" t="n">
        <v>0.22</v>
      </c>
      <c r="M93" s="2" t="n">
        <v>0.54</v>
      </c>
      <c r="N93" s="2" t="n">
        <v>5.49</v>
      </c>
    </row>
    <row r="94" customFormat="false" ht="15" hidden="false" customHeight="false" outlineLevel="0" collapsed="false">
      <c r="A94" s="2" t="s">
        <v>218</v>
      </c>
      <c r="B94" s="2" t="n">
        <v>2009</v>
      </c>
      <c r="C94" s="2" t="s">
        <v>210</v>
      </c>
      <c r="D94" s="2" t="s">
        <v>31</v>
      </c>
      <c r="E94" s="2" t="s">
        <v>407</v>
      </c>
      <c r="F94" s="2" t="n">
        <v>18</v>
      </c>
      <c r="G94" s="2" t="n">
        <v>0.15</v>
      </c>
      <c r="H94" s="2" t="n">
        <v>9.38</v>
      </c>
      <c r="I94" s="2" t="n">
        <v>0.17</v>
      </c>
      <c r="J94" s="2" t="n">
        <v>1.36</v>
      </c>
      <c r="K94" s="2" t="n">
        <v>5.03</v>
      </c>
      <c r="L94" s="2" t="n">
        <v>0.2</v>
      </c>
      <c r="M94" s="2" t="n">
        <v>0.86</v>
      </c>
      <c r="N94" s="2" t="n">
        <v>15.06</v>
      </c>
    </row>
    <row r="95" customFormat="false" ht="15" hidden="false" customHeight="false" outlineLevel="0" collapsed="false">
      <c r="A95" s="2" t="s">
        <v>220</v>
      </c>
      <c r="B95" s="2" t="n">
        <v>2009</v>
      </c>
      <c r="C95" s="2" t="s">
        <v>210</v>
      </c>
      <c r="D95" s="2" t="s">
        <v>31</v>
      </c>
      <c r="E95" s="2" t="s">
        <v>408</v>
      </c>
      <c r="F95" s="2" t="n">
        <v>25</v>
      </c>
      <c r="G95" s="2" t="n">
        <v>0.14</v>
      </c>
      <c r="H95" s="2" t="n">
        <v>8.22</v>
      </c>
      <c r="I95" s="2" t="n">
        <v>0.17</v>
      </c>
      <c r="J95" s="2" t="n">
        <v>1.3</v>
      </c>
      <c r="K95" s="2" t="n">
        <v>4.34</v>
      </c>
      <c r="L95" s="2" t="n">
        <v>0.2</v>
      </c>
      <c r="M95" s="2" t="n">
        <v>0.69</v>
      </c>
      <c r="N95" s="2" t="n">
        <v>9.68</v>
      </c>
    </row>
    <row r="96" customFormat="false" ht="15" hidden="false" customHeight="false" outlineLevel="0" collapsed="false">
      <c r="A96" s="2" t="s">
        <v>222</v>
      </c>
      <c r="B96" s="2" t="n">
        <v>2009</v>
      </c>
      <c r="C96" s="2" t="s">
        <v>210</v>
      </c>
      <c r="D96" s="2" t="s">
        <v>31</v>
      </c>
      <c r="E96" s="2" t="s">
        <v>409</v>
      </c>
      <c r="F96" s="2" t="n">
        <v>26</v>
      </c>
      <c r="G96" s="2" t="n">
        <v>0.14</v>
      </c>
      <c r="H96" s="2" t="n">
        <v>8.78</v>
      </c>
      <c r="I96" s="2" t="n">
        <v>0.17</v>
      </c>
      <c r="J96" s="2" t="n">
        <v>1.15</v>
      </c>
      <c r="K96" s="2" t="n">
        <v>4.28</v>
      </c>
      <c r="L96" s="2" t="n">
        <v>0.2</v>
      </c>
      <c r="M96" s="2" t="n">
        <v>0.76</v>
      </c>
      <c r="N96" s="2" t="n">
        <v>9.34</v>
      </c>
    </row>
    <row r="97" customFormat="false" ht="15" hidden="false" customHeight="false" outlineLevel="0" collapsed="false">
      <c r="A97" s="2" t="s">
        <v>224</v>
      </c>
      <c r="B97" s="2" t="n">
        <v>2009</v>
      </c>
      <c r="C97" s="2" t="s">
        <v>210</v>
      </c>
      <c r="D97" s="2" t="s">
        <v>31</v>
      </c>
      <c r="E97" s="2" t="s">
        <v>410</v>
      </c>
      <c r="F97" s="2" t="n">
        <v>27</v>
      </c>
      <c r="G97" s="2" t="n">
        <v>0.14</v>
      </c>
      <c r="H97" s="2" t="n">
        <v>7.99</v>
      </c>
      <c r="I97" s="2" t="n">
        <v>0.17</v>
      </c>
      <c r="J97" s="2" t="n">
        <v>1.13</v>
      </c>
      <c r="K97" s="2" t="n">
        <v>4.31</v>
      </c>
      <c r="L97" s="2" t="n">
        <v>0.2</v>
      </c>
      <c r="M97" s="2" t="n">
        <v>0.72</v>
      </c>
      <c r="N97" s="2" t="n">
        <v>10.65</v>
      </c>
    </row>
    <row r="98" customFormat="false" ht="15" hidden="false" customHeight="false" outlineLevel="0" collapsed="false">
      <c r="A98" s="2" t="s">
        <v>226</v>
      </c>
      <c r="B98" s="2" t="n">
        <v>2009</v>
      </c>
      <c r="C98" s="2" t="s">
        <v>210</v>
      </c>
      <c r="D98" s="2" t="s">
        <v>31</v>
      </c>
      <c r="E98" s="2" t="s">
        <v>411</v>
      </c>
      <c r="F98" s="2" t="n">
        <v>28</v>
      </c>
      <c r="G98" s="2" t="n">
        <v>0.14</v>
      </c>
      <c r="H98" s="2" t="n">
        <v>9.9</v>
      </c>
      <c r="I98" s="2" t="n">
        <v>0.17</v>
      </c>
      <c r="J98" s="2" t="n">
        <v>1.27</v>
      </c>
      <c r="K98" s="2" t="n">
        <v>4.22</v>
      </c>
      <c r="L98" s="2" t="n">
        <v>0.2</v>
      </c>
      <c r="M98" s="2" t="n">
        <v>0.73</v>
      </c>
      <c r="N98" s="2" t="n">
        <v>11.21</v>
      </c>
    </row>
    <row r="99" customFormat="false" ht="15" hidden="false" customHeight="false" outlineLevel="0" collapsed="false">
      <c r="A99" s="2" t="s">
        <v>228</v>
      </c>
      <c r="B99" s="2" t="n">
        <v>2009</v>
      </c>
      <c r="C99" s="2" t="s">
        <v>210</v>
      </c>
      <c r="D99" s="2" t="s">
        <v>31</v>
      </c>
      <c r="E99" s="2" t="s">
        <v>412</v>
      </c>
      <c r="F99" s="2" t="n">
        <v>29</v>
      </c>
      <c r="G99" s="2" t="n">
        <v>0.14</v>
      </c>
      <c r="H99" s="2" t="n">
        <v>4.5</v>
      </c>
      <c r="I99" s="2" t="n">
        <v>0.18</v>
      </c>
      <c r="J99" s="2" t="n">
        <v>1.02</v>
      </c>
      <c r="K99" s="2" t="n">
        <v>4.18</v>
      </c>
      <c r="L99" s="2" t="n">
        <v>0.22</v>
      </c>
      <c r="M99" s="2" t="n">
        <v>0.51</v>
      </c>
      <c r="N99" s="2" t="n">
        <v>4.67</v>
      </c>
    </row>
    <row r="100" customFormat="false" ht="15" hidden="false" customHeight="false" outlineLevel="0" collapsed="false">
      <c r="A100" s="2" t="s">
        <v>230</v>
      </c>
      <c r="B100" s="2" t="n">
        <v>2009</v>
      </c>
      <c r="C100" s="2" t="s">
        <v>210</v>
      </c>
      <c r="D100" s="2" t="s">
        <v>31</v>
      </c>
      <c r="E100" s="2" t="s">
        <v>413</v>
      </c>
      <c r="F100" s="2" t="n">
        <v>30</v>
      </c>
      <c r="G100" s="2" t="n">
        <v>0.14</v>
      </c>
      <c r="H100" s="2" t="n">
        <v>8.2</v>
      </c>
      <c r="I100" s="2" t="n">
        <v>0.17</v>
      </c>
      <c r="J100" s="2" t="n">
        <v>1.25</v>
      </c>
      <c r="K100" s="2" t="n">
        <v>4.61</v>
      </c>
      <c r="L100" s="2" t="n">
        <v>0.2</v>
      </c>
      <c r="M100" s="2" t="n">
        <v>0.74</v>
      </c>
      <c r="N100" s="2" t="n">
        <v>11.04</v>
      </c>
    </row>
    <row r="101" customFormat="false" ht="15" hidden="false" customHeight="false" outlineLevel="0" collapsed="false">
      <c r="A101" s="2" t="s">
        <v>232</v>
      </c>
      <c r="B101" s="2" t="n">
        <v>2009</v>
      </c>
      <c r="C101" s="2" t="s">
        <v>210</v>
      </c>
      <c r="D101" s="2" t="s">
        <v>31</v>
      </c>
      <c r="E101" s="2" t="s">
        <v>414</v>
      </c>
      <c r="F101" s="2" t="n">
        <v>31</v>
      </c>
      <c r="G101" s="2" t="n">
        <v>0.14</v>
      </c>
      <c r="H101" s="2" t="n">
        <v>9.97</v>
      </c>
      <c r="I101" s="2" t="n">
        <v>0.16</v>
      </c>
      <c r="J101" s="2" t="n">
        <v>1.26</v>
      </c>
      <c r="K101" s="2" t="n">
        <v>4.95</v>
      </c>
      <c r="L101" s="2" t="n">
        <v>0.19</v>
      </c>
      <c r="M101" s="2" t="n">
        <v>0.86</v>
      </c>
      <c r="N101" s="2" t="n">
        <v>18.45</v>
      </c>
    </row>
    <row r="102" customFormat="false" ht="15" hidden="false" customHeight="false" outlineLevel="0" collapsed="false">
      <c r="A102" s="2" t="s">
        <v>234</v>
      </c>
      <c r="B102" s="2" t="n">
        <v>2009</v>
      </c>
      <c r="C102" s="2" t="s">
        <v>210</v>
      </c>
      <c r="D102" s="2" t="s">
        <v>31</v>
      </c>
      <c r="E102" s="2" t="s">
        <v>415</v>
      </c>
      <c r="F102" s="2" t="n">
        <v>32</v>
      </c>
      <c r="G102" s="2" t="n">
        <v>0.14</v>
      </c>
      <c r="H102" s="2" t="n">
        <v>4.28</v>
      </c>
      <c r="I102" s="2" t="n">
        <v>0.17</v>
      </c>
      <c r="J102" s="2" t="n">
        <v>0.95</v>
      </c>
      <c r="K102" s="2" t="n">
        <v>4.53</v>
      </c>
      <c r="L102" s="2" t="n">
        <v>0.22</v>
      </c>
      <c r="M102" s="2" t="n">
        <v>0.53</v>
      </c>
      <c r="N102" s="2" t="n">
        <v>5.29</v>
      </c>
    </row>
    <row r="103" customFormat="false" ht="15" hidden="false" customHeight="false" outlineLevel="0" collapsed="false">
      <c r="A103" s="2" t="s">
        <v>236</v>
      </c>
      <c r="B103" s="2" t="n">
        <v>2009</v>
      </c>
      <c r="C103" s="2" t="s">
        <v>210</v>
      </c>
      <c r="D103" s="2" t="s">
        <v>31</v>
      </c>
      <c r="E103" s="2" t="s">
        <v>416</v>
      </c>
      <c r="F103" s="2" t="n">
        <v>33</v>
      </c>
      <c r="G103" s="2" t="n">
        <v>0.14</v>
      </c>
      <c r="H103" s="2" t="n">
        <v>9</v>
      </c>
      <c r="I103" s="2" t="n">
        <v>0.17</v>
      </c>
      <c r="J103" s="2" t="n">
        <v>1.29</v>
      </c>
      <c r="K103" s="2" t="n">
        <v>4.48</v>
      </c>
      <c r="L103" s="2" t="n">
        <v>0.2</v>
      </c>
      <c r="M103" s="2" t="n">
        <v>0.7</v>
      </c>
      <c r="N103" s="2" t="n">
        <v>9.35</v>
      </c>
    </row>
    <row r="104" customFormat="false" ht="15" hidden="false" customHeight="false" outlineLevel="0" collapsed="false">
      <c r="A104" s="2" t="s">
        <v>238</v>
      </c>
      <c r="B104" s="2" t="n">
        <v>2009</v>
      </c>
      <c r="C104" s="2" t="s">
        <v>210</v>
      </c>
      <c r="D104" s="2" t="s">
        <v>31</v>
      </c>
      <c r="E104" s="2" t="s">
        <v>417</v>
      </c>
      <c r="F104" s="2" t="n">
        <v>34</v>
      </c>
      <c r="G104" s="2" t="n">
        <v>0.14</v>
      </c>
      <c r="H104" s="2" t="n">
        <v>8.47</v>
      </c>
      <c r="I104" s="2" t="n">
        <v>0.17</v>
      </c>
      <c r="J104" s="2" t="n">
        <v>1.32</v>
      </c>
      <c r="K104" s="2" t="n">
        <v>4.27</v>
      </c>
      <c r="L104" s="2" t="n">
        <v>0.2</v>
      </c>
      <c r="M104" s="2" t="n">
        <v>0.74</v>
      </c>
      <c r="N104" s="2" t="n">
        <v>11.14</v>
      </c>
    </row>
    <row r="105" customFormat="false" ht="15" hidden="false" customHeight="false" outlineLevel="0" collapsed="false">
      <c r="A105" s="2" t="s">
        <v>240</v>
      </c>
      <c r="B105" s="2" t="n">
        <v>2009</v>
      </c>
      <c r="C105" s="2" t="s">
        <v>210</v>
      </c>
      <c r="D105" s="2" t="s">
        <v>31</v>
      </c>
      <c r="E105" s="2" t="s">
        <v>418</v>
      </c>
      <c r="F105" s="2" t="n">
        <v>35</v>
      </c>
      <c r="G105" s="2" t="n">
        <v>0.14</v>
      </c>
      <c r="H105" s="2" t="n">
        <v>10.74</v>
      </c>
      <c r="I105" s="2" t="n">
        <v>0.16</v>
      </c>
      <c r="J105" s="2" t="n">
        <v>1.31</v>
      </c>
      <c r="K105" s="2" t="n">
        <v>4.4</v>
      </c>
      <c r="L105" s="2" t="n">
        <v>0.19</v>
      </c>
      <c r="M105" s="2" t="n">
        <v>0.83</v>
      </c>
      <c r="N105" s="2" t="n">
        <v>16.38</v>
      </c>
    </row>
    <row r="106" customFormat="false" ht="15" hidden="false" customHeight="false" outlineLevel="0" collapsed="false">
      <c r="A106" s="2" t="s">
        <v>242</v>
      </c>
      <c r="B106" s="2" t="n">
        <v>2009</v>
      </c>
      <c r="C106" s="2" t="s">
        <v>210</v>
      </c>
      <c r="D106" s="2" t="s">
        <v>31</v>
      </c>
      <c r="E106" s="2" t="s">
        <v>419</v>
      </c>
      <c r="F106" s="2" t="n">
        <v>36</v>
      </c>
      <c r="G106" s="2" t="n">
        <v>0.14</v>
      </c>
      <c r="H106" s="2" t="n">
        <v>8.25</v>
      </c>
      <c r="I106" s="2" t="n">
        <v>0.16</v>
      </c>
      <c r="J106" s="2" t="n">
        <v>1.27</v>
      </c>
      <c r="K106" s="2" t="n">
        <v>4.78</v>
      </c>
      <c r="L106" s="2" t="n">
        <v>0.19</v>
      </c>
      <c r="M106" s="2" t="n">
        <v>0.81</v>
      </c>
      <c r="N106" s="2" t="n">
        <v>15.06</v>
      </c>
    </row>
    <row r="107" customFormat="false" ht="15" hidden="false" customHeight="false" outlineLevel="0" collapsed="false">
      <c r="A107" s="2" t="s">
        <v>244</v>
      </c>
      <c r="B107" s="2" t="n">
        <v>2009</v>
      </c>
      <c r="C107" s="2" t="s">
        <v>210</v>
      </c>
      <c r="D107" s="2" t="s">
        <v>31</v>
      </c>
      <c r="E107" s="2" t="s">
        <v>420</v>
      </c>
      <c r="F107" s="2" t="n">
        <v>37</v>
      </c>
      <c r="G107" s="2" t="n">
        <v>0.14</v>
      </c>
      <c r="H107" s="2" t="n">
        <v>9.02</v>
      </c>
      <c r="I107" s="2" t="n">
        <v>0.17</v>
      </c>
      <c r="J107" s="2" t="n">
        <v>1.44</v>
      </c>
      <c r="K107" s="2" t="n">
        <v>5.26</v>
      </c>
      <c r="L107" s="2" t="n">
        <v>0.2</v>
      </c>
      <c r="M107" s="2" t="n">
        <v>0.7</v>
      </c>
      <c r="N107" s="2" t="n">
        <v>9.91</v>
      </c>
    </row>
    <row r="108" customFormat="false" ht="15" hidden="false" customHeight="false" outlineLevel="0" collapsed="false">
      <c r="A108" s="2" t="s">
        <v>246</v>
      </c>
      <c r="B108" s="2" t="n">
        <v>2009</v>
      </c>
      <c r="C108" s="2" t="s">
        <v>210</v>
      </c>
      <c r="D108" s="2" t="s">
        <v>31</v>
      </c>
      <c r="E108" s="2" t="s">
        <v>421</v>
      </c>
      <c r="F108" s="2" t="n">
        <v>38</v>
      </c>
      <c r="G108" s="2" t="n">
        <v>0.14</v>
      </c>
      <c r="H108" s="2" t="n">
        <v>7.4</v>
      </c>
      <c r="I108" s="2" t="n">
        <v>0.17</v>
      </c>
      <c r="J108" s="2" t="n">
        <v>1.24</v>
      </c>
      <c r="K108" s="2" t="n">
        <v>4.45</v>
      </c>
      <c r="L108" s="2" t="n">
        <v>0.2</v>
      </c>
      <c r="M108" s="2" t="n">
        <v>0.72</v>
      </c>
      <c r="N108" s="2" t="n">
        <v>11.86</v>
      </c>
    </row>
    <row r="109" customFormat="false" ht="15" hidden="false" customHeight="false" outlineLevel="0" collapsed="false">
      <c r="A109" s="2" t="s">
        <v>248</v>
      </c>
      <c r="B109" s="2" t="n">
        <v>2009</v>
      </c>
      <c r="C109" s="2" t="s">
        <v>210</v>
      </c>
      <c r="D109" s="2" t="s">
        <v>31</v>
      </c>
      <c r="E109" s="2" t="s">
        <v>422</v>
      </c>
      <c r="F109" s="2" t="n">
        <v>39</v>
      </c>
      <c r="G109" s="2" t="n">
        <v>0.14</v>
      </c>
      <c r="H109" s="2" t="n">
        <v>8.66</v>
      </c>
      <c r="I109" s="2" t="n">
        <v>0.17</v>
      </c>
      <c r="J109" s="2" t="n">
        <v>1.18</v>
      </c>
      <c r="K109" s="2" t="n">
        <v>4.41</v>
      </c>
      <c r="L109" s="2" t="n">
        <v>0.2</v>
      </c>
      <c r="M109" s="2" t="n">
        <v>0.74</v>
      </c>
      <c r="N109" s="2" t="n">
        <v>10.8</v>
      </c>
    </row>
    <row r="110" customFormat="false" ht="15" hidden="false" customHeight="false" outlineLevel="0" collapsed="false">
      <c r="A110" s="2" t="s">
        <v>250</v>
      </c>
      <c r="B110" s="2" t="n">
        <v>2009</v>
      </c>
      <c r="C110" s="2" t="s">
        <v>210</v>
      </c>
      <c r="D110" s="2" t="s">
        <v>31</v>
      </c>
      <c r="E110" s="2" t="s">
        <v>423</v>
      </c>
      <c r="F110" s="2" t="n">
        <v>40</v>
      </c>
      <c r="G110" s="2" t="n">
        <v>0.14</v>
      </c>
      <c r="H110" s="2" t="n">
        <v>8.37</v>
      </c>
      <c r="I110" s="2" t="n">
        <v>0.17</v>
      </c>
      <c r="J110" s="2" t="n">
        <v>1.27</v>
      </c>
      <c r="K110" s="2" t="n">
        <v>4.42</v>
      </c>
      <c r="L110" s="2" t="n">
        <v>0.2</v>
      </c>
      <c r="M110" s="2" t="n">
        <v>0.75</v>
      </c>
      <c r="N110" s="2" t="n">
        <v>11.47</v>
      </c>
    </row>
    <row r="111" customFormat="false" ht="15" hidden="false" customHeight="false" outlineLevel="0" collapsed="false">
      <c r="A111" s="2" t="s">
        <v>252</v>
      </c>
      <c r="B111" s="2" t="n">
        <v>2009</v>
      </c>
      <c r="C111" s="2" t="s">
        <v>210</v>
      </c>
      <c r="D111" s="2" t="s">
        <v>31</v>
      </c>
      <c r="E111" s="2" t="s">
        <v>424</v>
      </c>
      <c r="F111" s="2" t="n">
        <v>41</v>
      </c>
      <c r="G111" s="2" t="n">
        <v>0.14</v>
      </c>
      <c r="H111" s="2" t="n">
        <v>8.7</v>
      </c>
      <c r="I111" s="2" t="n">
        <v>0.16</v>
      </c>
      <c r="J111" s="2" t="n">
        <v>1.36</v>
      </c>
      <c r="K111" s="2" t="n">
        <v>4.84</v>
      </c>
      <c r="L111" s="2" t="n">
        <v>0.19</v>
      </c>
      <c r="M111" s="2" t="n">
        <v>0.79</v>
      </c>
      <c r="N111" s="2" t="n">
        <v>13.36</v>
      </c>
    </row>
    <row r="112" customFormat="false" ht="15" hidden="false" customHeight="false" outlineLevel="0" collapsed="false">
      <c r="A112" s="2" t="s">
        <v>254</v>
      </c>
      <c r="B112" s="2" t="n">
        <v>2009</v>
      </c>
      <c r="C112" s="2" t="s">
        <v>210</v>
      </c>
      <c r="D112" s="2" t="s">
        <v>31</v>
      </c>
      <c r="E112" s="2" t="s">
        <v>425</v>
      </c>
      <c r="F112" s="2" t="n">
        <v>42</v>
      </c>
      <c r="G112" s="2" t="n">
        <v>0.14</v>
      </c>
      <c r="H112" s="2" t="n">
        <v>7.32</v>
      </c>
      <c r="I112" s="2" t="n">
        <v>0.17</v>
      </c>
      <c r="J112" s="2" t="n">
        <v>1.25</v>
      </c>
      <c r="K112" s="2" t="n">
        <v>3.97</v>
      </c>
      <c r="L112" s="2" t="n">
        <v>0.2</v>
      </c>
      <c r="M112" s="2" t="n">
        <v>0.65</v>
      </c>
      <c r="N112" s="2" t="n">
        <v>8.07</v>
      </c>
    </row>
    <row r="113" customFormat="false" ht="15" hidden="false" customHeight="false" outlineLevel="0" collapsed="false">
      <c r="A113" s="2" t="s">
        <v>256</v>
      </c>
      <c r="B113" s="2" t="n">
        <v>2009</v>
      </c>
      <c r="C113" s="2" t="s">
        <v>210</v>
      </c>
      <c r="D113" s="2" t="s">
        <v>31</v>
      </c>
      <c r="E113" s="2" t="s">
        <v>426</v>
      </c>
      <c r="F113" s="2" t="n">
        <v>43</v>
      </c>
      <c r="G113" s="2" t="n">
        <v>0.14</v>
      </c>
      <c r="H113" s="2" t="n">
        <v>7.1</v>
      </c>
      <c r="I113" s="2" t="n">
        <v>0.17</v>
      </c>
      <c r="J113" s="2" t="n">
        <v>1.08</v>
      </c>
      <c r="K113" s="2" t="n">
        <v>4.7</v>
      </c>
      <c r="L113" s="2" t="n">
        <v>0.2</v>
      </c>
      <c r="M113" s="2" t="n">
        <v>0.73</v>
      </c>
      <c r="N113" s="2" t="n">
        <v>13.24</v>
      </c>
    </row>
    <row r="114" customFormat="false" ht="15" hidden="false" customHeight="false" outlineLevel="0" collapsed="false">
      <c r="A114" s="2" t="s">
        <v>258</v>
      </c>
      <c r="B114" s="2" t="n">
        <v>2009</v>
      </c>
      <c r="C114" s="2" t="s">
        <v>210</v>
      </c>
      <c r="D114" s="2" t="s">
        <v>31</v>
      </c>
      <c r="E114" s="2" t="s">
        <v>427</v>
      </c>
      <c r="F114" s="2" t="n">
        <v>44</v>
      </c>
      <c r="G114" s="2" t="n">
        <v>0.14</v>
      </c>
      <c r="H114" s="2" t="n">
        <v>7.31</v>
      </c>
      <c r="I114" s="2" t="n">
        <v>0.17</v>
      </c>
      <c r="J114" s="2" t="n">
        <v>1.34</v>
      </c>
      <c r="K114" s="2" t="n">
        <v>4.81</v>
      </c>
      <c r="L114" s="2" t="n">
        <v>0.2</v>
      </c>
      <c r="M114" s="2" t="n">
        <v>0.76</v>
      </c>
      <c r="N114" s="2" t="n">
        <v>11.11</v>
      </c>
    </row>
    <row r="115" customFormat="false" ht="15" hidden="false" customHeight="false" outlineLevel="0" collapsed="false">
      <c r="A115" s="2" t="s">
        <v>260</v>
      </c>
      <c r="B115" s="2" t="n">
        <v>2009</v>
      </c>
      <c r="C115" s="2" t="s">
        <v>210</v>
      </c>
      <c r="D115" s="2" t="s">
        <v>31</v>
      </c>
      <c r="E115" s="2" t="s">
        <v>428</v>
      </c>
      <c r="F115" s="2" t="n">
        <v>45</v>
      </c>
      <c r="G115" s="2" t="n">
        <v>0.14</v>
      </c>
      <c r="H115" s="2" t="n">
        <v>6.49</v>
      </c>
      <c r="I115" s="2" t="n">
        <v>0.17</v>
      </c>
      <c r="J115" s="2" t="n">
        <v>1.27</v>
      </c>
      <c r="K115" s="2" t="n">
        <v>3.74</v>
      </c>
      <c r="L115" s="2" t="n">
        <v>0.21</v>
      </c>
      <c r="M115" s="2" t="n">
        <v>0.59</v>
      </c>
      <c r="N115" s="2" t="n">
        <v>8.12</v>
      </c>
    </row>
    <row r="116" customFormat="false" ht="15" hidden="false" customHeight="false" outlineLevel="0" collapsed="false">
      <c r="A116" s="2" t="s">
        <v>262</v>
      </c>
      <c r="B116" s="2" t="n">
        <v>2009</v>
      </c>
      <c r="C116" s="2" t="s">
        <v>210</v>
      </c>
      <c r="D116" s="2" t="s">
        <v>31</v>
      </c>
      <c r="E116" s="2" t="s">
        <v>429</v>
      </c>
      <c r="F116" s="2" t="n">
        <v>46</v>
      </c>
      <c r="G116" s="2" t="n">
        <v>0.14</v>
      </c>
      <c r="H116" s="2" t="n">
        <v>9.96</v>
      </c>
      <c r="I116" s="2" t="n">
        <v>0.17</v>
      </c>
      <c r="J116" s="2" t="n">
        <v>1.32</v>
      </c>
      <c r="K116" s="2" t="n">
        <v>4.3</v>
      </c>
      <c r="L116" s="2" t="n">
        <v>0.2</v>
      </c>
      <c r="M116" s="2" t="n">
        <v>0.75</v>
      </c>
      <c r="N116" s="2" t="n">
        <v>17.63</v>
      </c>
    </row>
    <row r="117" customFormat="false" ht="15" hidden="false" customHeight="false" outlineLevel="0" collapsed="false">
      <c r="A117" s="2" t="s">
        <v>264</v>
      </c>
      <c r="B117" s="2" t="n">
        <v>2009</v>
      </c>
      <c r="C117" s="2" t="s">
        <v>210</v>
      </c>
      <c r="D117" s="2" t="s">
        <v>31</v>
      </c>
      <c r="E117" s="2" t="s">
        <v>430</v>
      </c>
      <c r="F117" s="2" t="n">
        <v>47</v>
      </c>
      <c r="G117" s="2" t="n">
        <v>0.14</v>
      </c>
      <c r="H117" s="2" t="n">
        <v>8.33</v>
      </c>
      <c r="I117" s="2" t="n">
        <v>0.17</v>
      </c>
      <c r="J117" s="2" t="n">
        <v>1.41</v>
      </c>
      <c r="K117" s="2" t="n">
        <v>4.19</v>
      </c>
      <c r="L117" s="2" t="n">
        <v>0.2</v>
      </c>
      <c r="M117" s="2" t="n">
        <v>0.74</v>
      </c>
      <c r="N117" s="2" t="n">
        <v>13.35</v>
      </c>
    </row>
    <row r="118" customFormat="false" ht="15" hidden="false" customHeight="false" outlineLevel="0" collapsed="false">
      <c r="A118" s="2" t="s">
        <v>266</v>
      </c>
      <c r="B118" s="2" t="n">
        <v>2009</v>
      </c>
      <c r="C118" s="2" t="s">
        <v>210</v>
      </c>
      <c r="D118" s="2" t="s">
        <v>31</v>
      </c>
      <c r="E118" s="2" t="s">
        <v>431</v>
      </c>
      <c r="F118" s="2" t="n">
        <v>48</v>
      </c>
      <c r="G118" s="2" t="n">
        <v>0.14</v>
      </c>
      <c r="H118" s="2" t="n">
        <v>8.88</v>
      </c>
      <c r="I118" s="2" t="n">
        <v>0.16</v>
      </c>
      <c r="J118" s="2" t="n">
        <v>1.36</v>
      </c>
      <c r="K118" s="2" t="n">
        <v>4.79</v>
      </c>
      <c r="L118" s="2" t="n">
        <v>0.19</v>
      </c>
      <c r="M118" s="2" t="n">
        <v>0.84</v>
      </c>
      <c r="N118" s="2" t="n">
        <v>17.45</v>
      </c>
    </row>
    <row r="119" customFormat="false" ht="15" hidden="false" customHeight="false" outlineLevel="0" collapsed="false">
      <c r="A119" s="2" t="s">
        <v>268</v>
      </c>
      <c r="B119" s="2" t="n">
        <v>2009</v>
      </c>
      <c r="C119" s="2" t="s">
        <v>210</v>
      </c>
      <c r="D119" s="2" t="s">
        <v>31</v>
      </c>
      <c r="E119" s="2" t="s">
        <v>432</v>
      </c>
      <c r="F119" s="2" t="n">
        <v>49</v>
      </c>
      <c r="G119" s="2" t="n">
        <v>0.14</v>
      </c>
      <c r="H119" s="2" t="n">
        <v>6.06</v>
      </c>
      <c r="I119" s="2" t="n">
        <v>0.17</v>
      </c>
      <c r="J119" s="2" t="n">
        <v>1.1</v>
      </c>
      <c r="K119" s="2" t="n">
        <v>3.44</v>
      </c>
      <c r="L119" s="2" t="n">
        <v>0.21</v>
      </c>
      <c r="M119" s="2" t="n">
        <v>0.58</v>
      </c>
      <c r="N119" s="2" t="n">
        <v>7.27</v>
      </c>
    </row>
    <row r="120" customFormat="false" ht="15" hidden="false" customHeight="false" outlineLevel="0" collapsed="false">
      <c r="A120" s="2" t="s">
        <v>270</v>
      </c>
      <c r="B120" s="2" t="n">
        <v>2009</v>
      </c>
      <c r="C120" s="2" t="s">
        <v>210</v>
      </c>
      <c r="D120" s="2" t="s">
        <v>31</v>
      </c>
      <c r="E120" s="2" t="s">
        <v>433</v>
      </c>
      <c r="F120" s="2" t="n">
        <v>50</v>
      </c>
      <c r="G120" s="2" t="n">
        <v>0.14</v>
      </c>
      <c r="H120" s="2" t="n">
        <v>4.47</v>
      </c>
      <c r="I120" s="2" t="n">
        <v>0.17</v>
      </c>
      <c r="J120" s="2" t="n">
        <v>0.97</v>
      </c>
      <c r="K120" s="2" t="n">
        <v>3.26</v>
      </c>
      <c r="L120" s="2" t="n">
        <v>0.21</v>
      </c>
      <c r="M120" s="2" t="n">
        <v>0.54</v>
      </c>
      <c r="N120" s="2" t="n">
        <v>6.14</v>
      </c>
    </row>
    <row r="121" customFormat="false" ht="15" hidden="false" customHeight="false" outlineLevel="0" collapsed="false">
      <c r="A121" s="2" t="s">
        <v>272</v>
      </c>
      <c r="B121" s="2" t="n">
        <v>2009</v>
      </c>
      <c r="C121" s="2" t="s">
        <v>210</v>
      </c>
      <c r="D121" s="2" t="s">
        <v>31</v>
      </c>
      <c r="E121" s="2" t="s">
        <v>434</v>
      </c>
      <c r="F121" s="2" t="n">
        <v>51</v>
      </c>
      <c r="G121" s="2" t="n">
        <v>0.14</v>
      </c>
      <c r="H121" s="2" t="n">
        <v>9.61</v>
      </c>
      <c r="I121" s="2" t="n">
        <v>0.16</v>
      </c>
      <c r="J121" s="2" t="n">
        <v>1.25</v>
      </c>
      <c r="K121" s="2" t="n">
        <v>4.76</v>
      </c>
      <c r="L121" s="2" t="n">
        <v>0.19</v>
      </c>
      <c r="M121" s="2" t="n">
        <v>0.84</v>
      </c>
      <c r="N121" s="2" t="n">
        <v>15.67</v>
      </c>
    </row>
    <row r="122" customFormat="false" ht="15" hidden="false" customHeight="false" outlineLevel="0" collapsed="false">
      <c r="A122" s="2" t="s">
        <v>274</v>
      </c>
      <c r="B122" s="2" t="n">
        <v>2009</v>
      </c>
      <c r="C122" s="2" t="s">
        <v>210</v>
      </c>
      <c r="D122" s="2" t="s">
        <v>31</v>
      </c>
      <c r="E122" s="2" t="s">
        <v>435</v>
      </c>
      <c r="F122" s="2" t="n">
        <v>52</v>
      </c>
      <c r="G122" s="2" t="n">
        <v>0.14</v>
      </c>
      <c r="H122" s="2" t="n">
        <v>3.94</v>
      </c>
      <c r="I122" s="2" t="n">
        <v>0.18</v>
      </c>
      <c r="J122" s="2" t="n">
        <v>0.96</v>
      </c>
      <c r="K122" s="2" t="n">
        <v>3.67</v>
      </c>
      <c r="L122" s="2" t="n">
        <v>0.22</v>
      </c>
      <c r="M122" s="2" t="n">
        <v>0.51</v>
      </c>
      <c r="N122" s="2" t="n">
        <v>5.15</v>
      </c>
    </row>
    <row r="123" customFormat="false" ht="15" hidden="false" customHeight="false" outlineLevel="0" collapsed="false">
      <c r="A123" s="2" t="s">
        <v>276</v>
      </c>
      <c r="B123" s="2" t="n">
        <v>2009</v>
      </c>
      <c r="C123" s="2" t="s">
        <v>210</v>
      </c>
      <c r="D123" s="2" t="s">
        <v>31</v>
      </c>
      <c r="E123" s="2" t="s">
        <v>436</v>
      </c>
      <c r="F123" s="2" t="n">
        <v>53</v>
      </c>
      <c r="G123" s="2" t="n">
        <v>0.14</v>
      </c>
      <c r="H123" s="2" t="n">
        <v>6.54</v>
      </c>
      <c r="I123" s="2" t="n">
        <v>0.17</v>
      </c>
      <c r="J123" s="2" t="n">
        <v>1.26</v>
      </c>
      <c r="K123" s="2" t="n">
        <v>3.51</v>
      </c>
      <c r="L123" s="2" t="n">
        <v>0.21</v>
      </c>
      <c r="M123" s="2" t="n">
        <v>0.6</v>
      </c>
      <c r="N123" s="2" t="n">
        <v>6.7</v>
      </c>
    </row>
    <row r="124" customFormat="false" ht="15" hidden="false" customHeight="false" outlineLevel="0" collapsed="false">
      <c r="A124" s="2" t="s">
        <v>278</v>
      </c>
      <c r="B124" s="2" t="n">
        <v>2009</v>
      </c>
      <c r="C124" s="2" t="s">
        <v>210</v>
      </c>
      <c r="D124" s="2" t="s">
        <v>31</v>
      </c>
      <c r="E124" s="2" t="s">
        <v>437</v>
      </c>
      <c r="F124" s="2" t="n">
        <v>54</v>
      </c>
      <c r="G124" s="2" t="n">
        <v>0.14</v>
      </c>
      <c r="H124" s="2" t="n">
        <v>7.13</v>
      </c>
      <c r="I124" s="2" t="n">
        <v>0.17</v>
      </c>
      <c r="J124" s="2" t="n">
        <v>1.28</v>
      </c>
      <c r="K124" s="2" t="n">
        <v>4.1</v>
      </c>
      <c r="L124" s="2" t="n">
        <v>0.2</v>
      </c>
      <c r="M124" s="2" t="n">
        <v>0.71</v>
      </c>
      <c r="N124" s="2" t="n">
        <v>11.32</v>
      </c>
    </row>
    <row r="125" customFormat="false" ht="15" hidden="false" customHeight="false" outlineLevel="0" collapsed="false">
      <c r="A125" s="2" t="s">
        <v>280</v>
      </c>
      <c r="B125" s="2" t="n">
        <v>2009</v>
      </c>
      <c r="C125" s="2" t="s">
        <v>210</v>
      </c>
      <c r="D125" s="2" t="s">
        <v>31</v>
      </c>
      <c r="E125" s="2" t="s">
        <v>438</v>
      </c>
      <c r="F125" s="2" t="n">
        <v>55</v>
      </c>
      <c r="G125" s="2" t="n">
        <v>0.14</v>
      </c>
      <c r="H125" s="2" t="n">
        <v>10.16</v>
      </c>
      <c r="I125" s="2" t="n">
        <v>0.16</v>
      </c>
      <c r="J125" s="2" t="n">
        <v>1.28</v>
      </c>
      <c r="K125" s="2" t="n">
        <v>4.13</v>
      </c>
      <c r="L125" s="2" t="n">
        <v>0.2</v>
      </c>
      <c r="M125" s="2" t="n">
        <v>0.77</v>
      </c>
      <c r="N125" s="2" t="n">
        <v>12.62</v>
      </c>
    </row>
    <row r="126" customFormat="false" ht="15" hidden="false" customHeight="false" outlineLevel="0" collapsed="false">
      <c r="A126" s="2" t="s">
        <v>282</v>
      </c>
      <c r="B126" s="2" t="n">
        <v>2009</v>
      </c>
      <c r="C126" s="2" t="s">
        <v>210</v>
      </c>
      <c r="D126" s="2" t="s">
        <v>31</v>
      </c>
      <c r="E126" s="2" t="s">
        <v>439</v>
      </c>
      <c r="F126" s="2" t="n">
        <v>56</v>
      </c>
      <c r="G126" s="2" t="n">
        <v>0.14</v>
      </c>
      <c r="H126" s="2" t="n">
        <v>5.04</v>
      </c>
      <c r="I126" s="2" t="n">
        <v>0.17</v>
      </c>
      <c r="J126" s="2" t="n">
        <v>1.06</v>
      </c>
      <c r="K126" s="2" t="n">
        <v>3.73</v>
      </c>
      <c r="L126" s="2" t="n">
        <v>0.21</v>
      </c>
      <c r="M126" s="2" t="n">
        <v>0.54</v>
      </c>
      <c r="N126" s="2" t="n">
        <v>5.95</v>
      </c>
    </row>
    <row r="127" customFormat="false" ht="15" hidden="false" customHeight="false" outlineLevel="0" collapsed="false">
      <c r="A127" s="2" t="s">
        <v>284</v>
      </c>
      <c r="B127" s="2" t="n">
        <v>2009</v>
      </c>
      <c r="C127" s="2" t="s">
        <v>210</v>
      </c>
      <c r="D127" s="2" t="s">
        <v>31</v>
      </c>
      <c r="E127" s="2" t="s">
        <v>440</v>
      </c>
      <c r="F127" s="2" t="n">
        <v>57</v>
      </c>
      <c r="G127" s="2" t="n">
        <v>0.14</v>
      </c>
      <c r="H127" s="2" t="n">
        <v>6.81</v>
      </c>
      <c r="I127" s="2" t="n">
        <v>0.16</v>
      </c>
      <c r="J127" s="2" t="n">
        <v>1.11</v>
      </c>
      <c r="K127" s="2" t="n">
        <v>3.04</v>
      </c>
      <c r="L127" s="2" t="n">
        <v>0.2</v>
      </c>
      <c r="M127" s="2" t="n">
        <v>0.78</v>
      </c>
      <c r="N127" s="2" t="n">
        <v>11.93</v>
      </c>
    </row>
    <row r="128" customFormat="false" ht="15" hidden="false" customHeight="false" outlineLevel="0" collapsed="false">
      <c r="A128" s="2" t="s">
        <v>286</v>
      </c>
      <c r="B128" s="2" t="n">
        <v>2009</v>
      </c>
      <c r="C128" s="2" t="s">
        <v>210</v>
      </c>
      <c r="D128" s="2" t="s">
        <v>31</v>
      </c>
      <c r="E128" s="2" t="s">
        <v>441</v>
      </c>
      <c r="F128" s="2" t="n">
        <v>58</v>
      </c>
      <c r="G128" s="2" t="n">
        <v>0.14</v>
      </c>
      <c r="H128" s="2" t="n">
        <v>8.65</v>
      </c>
      <c r="I128" s="2" t="n">
        <v>0.17</v>
      </c>
      <c r="J128" s="2" t="n">
        <v>1.31</v>
      </c>
      <c r="K128" s="2" t="n">
        <v>4.3</v>
      </c>
      <c r="L128" s="2" t="n">
        <v>0.2</v>
      </c>
      <c r="M128" s="2" t="n">
        <v>0.73</v>
      </c>
      <c r="N128" s="2" t="n">
        <v>10.55</v>
      </c>
    </row>
    <row r="129" customFormat="false" ht="15" hidden="false" customHeight="false" outlineLevel="0" collapsed="false">
      <c r="A129" s="2" t="s">
        <v>288</v>
      </c>
      <c r="B129" s="2" t="n">
        <v>2009</v>
      </c>
      <c r="C129" s="2" t="s">
        <v>210</v>
      </c>
      <c r="D129" s="2" t="s">
        <v>31</v>
      </c>
      <c r="E129" s="2" t="s">
        <v>442</v>
      </c>
      <c r="F129" s="2" t="n">
        <v>59</v>
      </c>
      <c r="G129" s="2" t="n">
        <v>0.14</v>
      </c>
      <c r="H129" s="2" t="n">
        <v>10.84</v>
      </c>
      <c r="I129" s="2" t="n">
        <v>0.17</v>
      </c>
      <c r="J129" s="2" t="n">
        <v>1.29</v>
      </c>
      <c r="K129" s="2" t="n">
        <v>4.32</v>
      </c>
      <c r="L129" s="2" t="n">
        <v>0.2</v>
      </c>
      <c r="M129" s="2" t="n">
        <v>0.77</v>
      </c>
      <c r="N129" s="2" t="n">
        <v>13.74</v>
      </c>
    </row>
    <row r="130" customFormat="false" ht="15" hidden="false" customHeight="false" outlineLevel="0" collapsed="false">
      <c r="A130" s="2" t="s">
        <v>290</v>
      </c>
      <c r="B130" s="2" t="n">
        <v>2009</v>
      </c>
      <c r="C130" s="2" t="s">
        <v>210</v>
      </c>
      <c r="D130" s="2" t="s">
        <v>31</v>
      </c>
      <c r="E130" s="2" t="s">
        <v>443</v>
      </c>
      <c r="F130" s="2" t="n">
        <v>60</v>
      </c>
      <c r="G130" s="2" t="n">
        <v>0.14</v>
      </c>
      <c r="H130" s="2" t="n">
        <v>6.87</v>
      </c>
      <c r="I130" s="2" t="n">
        <v>0.17</v>
      </c>
      <c r="J130" s="2" t="n">
        <v>1.17</v>
      </c>
      <c r="K130" s="2" t="n">
        <v>3.64</v>
      </c>
      <c r="L130" s="2" t="n">
        <v>0.21</v>
      </c>
      <c r="M130" s="2" t="n">
        <v>0.64</v>
      </c>
      <c r="N130" s="2" t="n">
        <v>8.84</v>
      </c>
    </row>
    <row r="131" customFormat="false" ht="15" hidden="false" customHeight="false" outlineLevel="0" collapsed="false">
      <c r="A131" s="2" t="s">
        <v>292</v>
      </c>
      <c r="B131" s="2" t="n">
        <v>2009</v>
      </c>
      <c r="C131" s="2" t="s">
        <v>210</v>
      </c>
      <c r="D131" s="2" t="s">
        <v>31</v>
      </c>
      <c r="E131" s="2" t="s">
        <v>444</v>
      </c>
      <c r="F131" s="2" t="n">
        <v>61</v>
      </c>
      <c r="G131" s="2" t="n">
        <v>0.14</v>
      </c>
      <c r="H131" s="2" t="n">
        <v>4</v>
      </c>
      <c r="I131" s="2" t="n">
        <v>0.17</v>
      </c>
      <c r="J131" s="2" t="n">
        <v>0.97</v>
      </c>
      <c r="K131" s="2" t="n">
        <v>3.56</v>
      </c>
      <c r="L131" s="2" t="n">
        <v>0.22</v>
      </c>
      <c r="M131" s="2" t="n">
        <v>0.53</v>
      </c>
      <c r="N131" s="2" t="n">
        <v>5.62</v>
      </c>
    </row>
    <row r="132" customFormat="false" ht="15" hidden="false" customHeight="false" outlineLevel="0" collapsed="false">
      <c r="A132" s="2" t="s">
        <v>294</v>
      </c>
      <c r="B132" s="2" t="n">
        <v>2009</v>
      </c>
      <c r="C132" s="2" t="s">
        <v>210</v>
      </c>
      <c r="D132" s="2" t="s">
        <v>31</v>
      </c>
      <c r="E132" s="2" t="s">
        <v>445</v>
      </c>
      <c r="F132" s="2" t="n">
        <v>62</v>
      </c>
      <c r="G132" s="2" t="n">
        <v>0.14</v>
      </c>
      <c r="H132" s="2" t="n">
        <v>6.76</v>
      </c>
      <c r="I132" s="2" t="n">
        <v>0.17</v>
      </c>
      <c r="J132" s="2" t="n">
        <v>1.23</v>
      </c>
      <c r="K132" s="2" t="n">
        <v>4.01</v>
      </c>
      <c r="L132" s="2" t="n">
        <v>0.21</v>
      </c>
      <c r="M132" s="2" t="n">
        <v>0.59</v>
      </c>
      <c r="N132" s="2" t="n">
        <v>7.8</v>
      </c>
    </row>
    <row r="133" customFormat="false" ht="15" hidden="false" customHeight="false" outlineLevel="0" collapsed="false">
      <c r="A133" s="2" t="s">
        <v>296</v>
      </c>
      <c r="B133" s="2" t="n">
        <v>2009</v>
      </c>
      <c r="C133" s="2" t="s">
        <v>210</v>
      </c>
      <c r="D133" s="2" t="s">
        <v>31</v>
      </c>
      <c r="E133" s="2" t="s">
        <v>446</v>
      </c>
      <c r="F133" s="2" t="n">
        <v>63</v>
      </c>
      <c r="G133" s="2" t="n">
        <v>0.14</v>
      </c>
      <c r="H133" s="2" t="n">
        <v>9.35</v>
      </c>
      <c r="I133" s="2" t="n">
        <v>0.17</v>
      </c>
      <c r="J133" s="2" t="n">
        <v>1.18</v>
      </c>
      <c r="K133" s="2" t="n">
        <v>4.76</v>
      </c>
      <c r="L133" s="2" t="n">
        <v>0.2</v>
      </c>
      <c r="M133" s="2" t="n">
        <v>0.74</v>
      </c>
      <c r="N133" s="2" t="n">
        <v>11.45</v>
      </c>
    </row>
    <row r="134" customFormat="false" ht="15" hidden="false" customHeight="false" outlineLevel="0" collapsed="false">
      <c r="A134" s="2" t="s">
        <v>298</v>
      </c>
      <c r="B134" s="2" t="n">
        <v>2009</v>
      </c>
      <c r="C134" s="2" t="s">
        <v>210</v>
      </c>
      <c r="D134" s="2" t="s">
        <v>31</v>
      </c>
      <c r="E134" s="2" t="s">
        <v>447</v>
      </c>
      <c r="F134" s="2" t="n">
        <v>64</v>
      </c>
      <c r="G134" s="2" t="n">
        <v>0.14</v>
      </c>
      <c r="H134" s="2" t="n">
        <v>5.32</v>
      </c>
      <c r="I134" s="2" t="n">
        <v>0.17</v>
      </c>
      <c r="J134" s="2" t="n">
        <v>1.1</v>
      </c>
      <c r="K134" s="2" t="n">
        <v>3.63</v>
      </c>
      <c r="L134" s="2" t="n">
        <v>0.21</v>
      </c>
      <c r="M134" s="2" t="n">
        <v>0.57</v>
      </c>
      <c r="N134" s="2" t="n">
        <v>7.8</v>
      </c>
    </row>
    <row r="135" customFormat="false" ht="15" hidden="false" customHeight="false" outlineLevel="0" collapsed="false">
      <c r="A135" s="2" t="s">
        <v>300</v>
      </c>
      <c r="B135" s="2" t="n">
        <v>2009</v>
      </c>
      <c r="C135" s="2" t="s">
        <v>210</v>
      </c>
      <c r="D135" s="2" t="s">
        <v>31</v>
      </c>
      <c r="E135" s="2" t="s">
        <v>448</v>
      </c>
      <c r="F135" s="2" t="n">
        <v>65</v>
      </c>
      <c r="G135" s="2" t="n">
        <v>0.14</v>
      </c>
      <c r="H135" s="2" t="n">
        <v>4.08</v>
      </c>
      <c r="I135" s="2" t="n">
        <v>0.17</v>
      </c>
      <c r="J135" s="2" t="n">
        <v>1</v>
      </c>
      <c r="K135" s="2" t="n">
        <v>4.4</v>
      </c>
      <c r="L135" s="2" t="n">
        <v>0.22</v>
      </c>
      <c r="M135" s="2" t="n">
        <v>0.53</v>
      </c>
      <c r="N135" s="2" t="n">
        <v>5.59</v>
      </c>
    </row>
    <row r="136" customFormat="false" ht="15" hidden="false" customHeight="false" outlineLevel="0" collapsed="false">
      <c r="A136" s="2" t="s">
        <v>302</v>
      </c>
      <c r="B136" s="2" t="n">
        <v>2009</v>
      </c>
      <c r="C136" s="2" t="s">
        <v>210</v>
      </c>
      <c r="D136" s="2" t="s">
        <v>31</v>
      </c>
      <c r="E136" s="2" t="s">
        <v>449</v>
      </c>
      <c r="F136" s="2" t="n">
        <v>73</v>
      </c>
      <c r="G136" s="2" t="n">
        <v>0.15</v>
      </c>
      <c r="H136" s="2" t="n">
        <v>14.58</v>
      </c>
      <c r="I136" s="2" t="n">
        <v>0.17</v>
      </c>
      <c r="J136" s="2" t="n">
        <v>1.36</v>
      </c>
      <c r="K136" s="2" t="n">
        <v>4.31</v>
      </c>
      <c r="L136" s="2" t="n">
        <v>0.2</v>
      </c>
      <c r="M136" s="2" t="n">
        <v>0.77</v>
      </c>
      <c r="N136" s="2" t="n">
        <v>12.67</v>
      </c>
    </row>
    <row r="137" customFormat="false" ht="15" hidden="false" customHeight="false" outlineLevel="0" collapsed="false">
      <c r="A137" s="2" t="s">
        <v>304</v>
      </c>
      <c r="B137" s="2" t="n">
        <v>2009</v>
      </c>
      <c r="C137" s="2" t="s">
        <v>210</v>
      </c>
      <c r="D137" s="2" t="s">
        <v>31</v>
      </c>
      <c r="E137" s="2" t="s">
        <v>450</v>
      </c>
      <c r="F137" s="2" t="n">
        <v>75</v>
      </c>
      <c r="G137" s="2" t="n">
        <v>0.15</v>
      </c>
      <c r="H137" s="2" t="n">
        <v>9.7</v>
      </c>
      <c r="I137" s="2" t="n">
        <v>0.17</v>
      </c>
      <c r="J137" s="2" t="n">
        <v>1.39</v>
      </c>
      <c r="K137" s="2" t="n">
        <v>5.05</v>
      </c>
      <c r="L137" s="2" t="n">
        <v>0.21</v>
      </c>
      <c r="M137" s="2" t="n">
        <v>0.74</v>
      </c>
      <c r="N137" s="2" t="n">
        <v>10.46</v>
      </c>
    </row>
    <row r="139" customFormat="false" ht="15" hidden="false" customHeight="false" outlineLevel="0" collapsed="false">
      <c r="A139" s="3" t="s">
        <v>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14" min="6" style="0" width="8"/>
  </cols>
  <sheetData>
    <row r="1" customFormat="false" ht="15" hidden="false" customHeight="false" outlineLevel="0" collapsed="false">
      <c r="A1" s="4" t="s">
        <v>452</v>
      </c>
    </row>
    <row r="2" customFormat="false" ht="15" hidden="false" customHeight="false" outlineLevel="0" collapsed="false">
      <c r="A2" s="1" t="s">
        <v>4</v>
      </c>
      <c r="B2" s="1" t="s">
        <v>453</v>
      </c>
      <c r="C2" s="1" t="s">
        <v>306</v>
      </c>
      <c r="D2" s="1" t="s">
        <v>454</v>
      </c>
      <c r="E2" s="1" t="s">
        <v>6</v>
      </c>
      <c r="F2" s="1" t="s">
        <v>455</v>
      </c>
      <c r="G2" s="1" t="s">
        <v>456</v>
      </c>
      <c r="H2" s="1" t="s">
        <v>457</v>
      </c>
      <c r="I2" s="1" t="s">
        <v>458</v>
      </c>
      <c r="J2" s="1" t="s">
        <v>459</v>
      </c>
      <c r="K2" s="1" t="s">
        <v>460</v>
      </c>
      <c r="L2" s="1" t="s">
        <v>461</v>
      </c>
      <c r="M2" s="1" t="s">
        <v>462</v>
      </c>
      <c r="N2" s="1" t="s">
        <v>15</v>
      </c>
    </row>
    <row r="3" customFormat="false" ht="15" hidden="false" customHeight="false" outlineLevel="0" collapsed="false">
      <c r="A3" s="2" t="s">
        <v>31</v>
      </c>
      <c r="B3" s="2" t="s">
        <v>463</v>
      </c>
      <c r="C3" s="2" t="s">
        <v>464</v>
      </c>
      <c r="D3" s="2" t="n">
        <v>6</v>
      </c>
      <c r="E3" s="2" t="s">
        <v>465</v>
      </c>
      <c r="F3" s="5" t="n">
        <v>50.91</v>
      </c>
      <c r="G3" s="5" t="n">
        <v>0.512</v>
      </c>
      <c r="H3" s="5" t="n">
        <v>7.66</v>
      </c>
      <c r="I3" s="5" t="n">
        <v>4.68</v>
      </c>
      <c r="J3" s="5" t="n">
        <v>17.21</v>
      </c>
      <c r="K3" s="5" t="n">
        <v>17.1</v>
      </c>
      <c r="L3" s="5" t="n">
        <v>0.8526</v>
      </c>
      <c r="M3" s="5" t="n">
        <v>0</v>
      </c>
      <c r="N3" s="5" t="n">
        <v>98.92</v>
      </c>
    </row>
    <row r="4" customFormat="false" ht="15" hidden="false" customHeight="false" outlineLevel="0" collapsed="false">
      <c r="A4" s="2" t="s">
        <v>31</v>
      </c>
      <c r="B4" s="2" t="s">
        <v>463</v>
      </c>
      <c r="C4" s="2" t="s">
        <v>466</v>
      </c>
      <c r="D4" s="2" t="n">
        <v>7</v>
      </c>
      <c r="E4" s="2" t="s">
        <v>467</v>
      </c>
      <c r="F4" s="5" t="n">
        <v>50.87</v>
      </c>
      <c r="G4" s="5" t="n">
        <v>0.5051</v>
      </c>
      <c r="H4" s="5" t="n">
        <v>7.69</v>
      </c>
      <c r="I4" s="5" t="n">
        <v>4.69</v>
      </c>
      <c r="J4" s="5" t="n">
        <v>17.27</v>
      </c>
      <c r="K4" s="5" t="n">
        <v>16.89</v>
      </c>
      <c r="L4" s="5" t="n">
        <v>0.8541</v>
      </c>
      <c r="M4" s="5" t="n">
        <v>0.001</v>
      </c>
      <c r="N4" s="5" t="n">
        <v>98.78</v>
      </c>
    </row>
    <row r="5" customFormat="false" ht="15" hidden="false" customHeight="false" outlineLevel="0" collapsed="false">
      <c r="A5" s="2" t="s">
        <v>31</v>
      </c>
      <c r="B5" s="2" t="s">
        <v>463</v>
      </c>
      <c r="C5" s="2" t="s">
        <v>468</v>
      </c>
      <c r="D5" s="2" t="n">
        <v>8</v>
      </c>
      <c r="E5" s="2" t="s">
        <v>469</v>
      </c>
      <c r="F5" s="5" t="n">
        <v>50.55</v>
      </c>
      <c r="G5" s="5" t="n">
        <v>0.5055</v>
      </c>
      <c r="H5" s="5" t="n">
        <v>7.73</v>
      </c>
      <c r="I5" s="5" t="n">
        <v>4.71</v>
      </c>
      <c r="J5" s="5" t="n">
        <v>17.26</v>
      </c>
      <c r="K5" s="5" t="n">
        <v>17.06</v>
      </c>
      <c r="L5" s="5" t="n">
        <v>0.8663</v>
      </c>
      <c r="M5" s="5" t="n">
        <v>0</v>
      </c>
      <c r="N5" s="5" t="n">
        <v>98.68</v>
      </c>
    </row>
    <row r="6" customFormat="false" ht="15" hidden="false" customHeight="false" outlineLevel="0" collapsed="false">
      <c r="A6" s="2" t="s">
        <v>31</v>
      </c>
      <c r="B6" s="2" t="s">
        <v>463</v>
      </c>
      <c r="C6" s="2" t="s">
        <v>470</v>
      </c>
      <c r="D6" s="2" t="n">
        <v>9</v>
      </c>
      <c r="E6" s="2" t="s">
        <v>471</v>
      </c>
      <c r="F6" s="5" t="n">
        <v>50.55</v>
      </c>
      <c r="G6" s="5" t="n">
        <v>0.4956</v>
      </c>
      <c r="H6" s="5" t="n">
        <v>7.6</v>
      </c>
      <c r="I6" s="5" t="n">
        <v>4.69</v>
      </c>
      <c r="J6" s="5" t="n">
        <v>17.38</v>
      </c>
      <c r="K6" s="5" t="n">
        <v>17.19</v>
      </c>
      <c r="L6" s="5" t="n">
        <v>0.8544</v>
      </c>
      <c r="M6" s="5" t="n">
        <v>0.01</v>
      </c>
      <c r="N6" s="5" t="n">
        <v>98.77</v>
      </c>
    </row>
    <row r="7" customFormat="false" ht="15" hidden="false" customHeight="false" outlineLevel="0" collapsed="false">
      <c r="A7" s="2" t="s">
        <v>31</v>
      </c>
      <c r="B7" s="2" t="s">
        <v>463</v>
      </c>
      <c r="C7" s="2" t="s">
        <v>472</v>
      </c>
      <c r="D7" s="2" t="n">
        <v>10</v>
      </c>
      <c r="E7" s="2" t="s">
        <v>473</v>
      </c>
      <c r="F7" s="5" t="n">
        <v>50.42</v>
      </c>
      <c r="G7" s="5" t="n">
        <v>0.5011</v>
      </c>
      <c r="H7" s="5" t="n">
        <v>7.65</v>
      </c>
      <c r="I7" s="5" t="n">
        <v>4.67</v>
      </c>
      <c r="J7" s="5" t="n">
        <v>17.4</v>
      </c>
      <c r="K7" s="5" t="n">
        <v>17.13</v>
      </c>
      <c r="L7" s="5" t="n">
        <v>0.8621</v>
      </c>
      <c r="M7" s="5" t="n">
        <v>0.0047</v>
      </c>
      <c r="N7" s="5" t="n">
        <v>98.63</v>
      </c>
    </row>
    <row r="8" customFormat="false" ht="15" hidden="false" customHeight="false" outlineLevel="0" collapsed="false">
      <c r="A8" s="2" t="s">
        <v>31</v>
      </c>
      <c r="B8" s="2" t="s">
        <v>474</v>
      </c>
      <c r="C8" s="2" t="s">
        <v>475</v>
      </c>
      <c r="D8" s="2" t="n">
        <v>1</v>
      </c>
      <c r="E8" s="2" t="s">
        <v>476</v>
      </c>
      <c r="F8" s="5" t="n">
        <v>51.77</v>
      </c>
      <c r="G8" s="5" t="n">
        <v>0.044</v>
      </c>
      <c r="H8" s="5" t="n">
        <v>31.09</v>
      </c>
      <c r="I8" s="5" t="n">
        <v>0.4044</v>
      </c>
      <c r="J8" s="5" t="n">
        <v>0.1405</v>
      </c>
      <c r="K8" s="5" t="n">
        <v>13.12</v>
      </c>
      <c r="L8" s="5" t="n">
        <v>3.8</v>
      </c>
      <c r="M8" s="5" t="n">
        <v>0.1153</v>
      </c>
      <c r="N8" s="5" t="n">
        <v>100.49</v>
      </c>
    </row>
    <row r="9" customFormat="false" ht="15" hidden="false" customHeight="false" outlineLevel="0" collapsed="false">
      <c r="A9" s="2" t="s">
        <v>31</v>
      </c>
      <c r="B9" s="2" t="s">
        <v>474</v>
      </c>
      <c r="C9" s="2" t="s">
        <v>477</v>
      </c>
      <c r="D9" s="2" t="n">
        <v>2</v>
      </c>
      <c r="E9" s="2" t="s">
        <v>478</v>
      </c>
      <c r="F9" s="5" t="n">
        <v>51.65</v>
      </c>
      <c r="G9" s="5" t="n">
        <v>0.0519</v>
      </c>
      <c r="H9" s="5" t="n">
        <v>31.23</v>
      </c>
      <c r="I9" s="5" t="n">
        <v>0.392</v>
      </c>
      <c r="J9" s="5" t="n">
        <v>0.1451</v>
      </c>
      <c r="K9" s="5" t="n">
        <v>13.14</v>
      </c>
      <c r="L9" s="5" t="n">
        <v>3.83</v>
      </c>
      <c r="M9" s="5" t="n">
        <v>0.1251</v>
      </c>
      <c r="N9" s="5" t="n">
        <v>100.57</v>
      </c>
    </row>
    <row r="10" customFormat="false" ht="15" hidden="false" customHeight="false" outlineLevel="0" collapsed="false">
      <c r="A10" s="2" t="s">
        <v>31</v>
      </c>
      <c r="B10" s="2" t="s">
        <v>474</v>
      </c>
      <c r="C10" s="2" t="s">
        <v>479</v>
      </c>
      <c r="D10" s="2" t="n">
        <v>3</v>
      </c>
      <c r="E10" s="2" t="s">
        <v>480</v>
      </c>
      <c r="F10" s="5" t="n">
        <v>51.91</v>
      </c>
      <c r="G10" s="5" t="n">
        <v>0.0366</v>
      </c>
      <c r="H10" s="5" t="n">
        <v>31.28</v>
      </c>
      <c r="I10" s="5" t="n">
        <v>0.3961</v>
      </c>
      <c r="J10" s="5" t="n">
        <v>0.154</v>
      </c>
      <c r="K10" s="5" t="n">
        <v>13.09</v>
      </c>
      <c r="L10" s="5" t="n">
        <v>3.91</v>
      </c>
      <c r="M10" s="5" t="n">
        <v>0.1207</v>
      </c>
      <c r="N10" s="5" t="n">
        <v>100.89</v>
      </c>
    </row>
    <row r="11" customFormat="false" ht="15" hidden="false" customHeight="false" outlineLevel="0" collapsed="false">
      <c r="A11" s="2" t="s">
        <v>31</v>
      </c>
      <c r="B11" s="2" t="s">
        <v>474</v>
      </c>
      <c r="C11" s="2" t="s">
        <v>481</v>
      </c>
      <c r="D11" s="2" t="n">
        <v>4</v>
      </c>
      <c r="E11" s="2" t="s">
        <v>482</v>
      </c>
      <c r="F11" s="5" t="n">
        <v>51.95</v>
      </c>
      <c r="G11" s="5" t="n">
        <v>0.0434</v>
      </c>
      <c r="H11" s="5" t="n">
        <v>31.35</v>
      </c>
      <c r="I11" s="5" t="n">
        <v>0.3989</v>
      </c>
      <c r="J11" s="5" t="n">
        <v>0.1355</v>
      </c>
      <c r="K11" s="5" t="n">
        <v>13.07</v>
      </c>
      <c r="L11" s="5" t="n">
        <v>3.84</v>
      </c>
      <c r="M11" s="5" t="n">
        <v>0.108</v>
      </c>
      <c r="N11" s="5" t="n">
        <v>100.9</v>
      </c>
    </row>
    <row r="12" customFormat="false" ht="15" hidden="false" customHeight="false" outlineLevel="0" collapsed="false">
      <c r="A12" s="2" t="s">
        <v>31</v>
      </c>
      <c r="B12" s="2" t="s">
        <v>474</v>
      </c>
      <c r="C12" s="2" t="s">
        <v>483</v>
      </c>
      <c r="D12" s="2" t="n">
        <v>5</v>
      </c>
      <c r="E12" s="2" t="s">
        <v>484</v>
      </c>
      <c r="F12" s="5" t="n">
        <v>51.68</v>
      </c>
      <c r="G12" s="5" t="n">
        <v>0.0515</v>
      </c>
      <c r="H12" s="5" t="n">
        <v>31.38</v>
      </c>
      <c r="I12" s="5" t="n">
        <v>0.4023</v>
      </c>
      <c r="J12" s="5" t="n">
        <v>0.1434</v>
      </c>
      <c r="K12" s="5" t="n">
        <v>13.25</v>
      </c>
      <c r="L12" s="5" t="n">
        <v>3.73</v>
      </c>
      <c r="M12" s="5" t="n">
        <v>0.116</v>
      </c>
      <c r="N12" s="5" t="n">
        <v>100.75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5"/>
      <c r="G13" s="5"/>
      <c r="H13" s="5"/>
      <c r="I13" s="5"/>
      <c r="J13" s="5"/>
      <c r="K13" s="5"/>
      <c r="L13" s="5"/>
      <c r="M13" s="5"/>
      <c r="N13" s="5"/>
    </row>
    <row r="14" customFormat="false" ht="15" hidden="false" customHeight="false" outlineLevel="0" collapsed="false">
      <c r="A14" s="2" t="s">
        <v>485</v>
      </c>
      <c r="B14" s="2"/>
      <c r="C14" s="2"/>
      <c r="D14" s="2"/>
      <c r="E14" s="2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15" hidden="false" customHeight="false" outlineLevel="0" collapsed="false">
      <c r="A15" s="6" t="s">
        <v>4</v>
      </c>
      <c r="B15" s="6" t="s">
        <v>453</v>
      </c>
      <c r="C15" s="6" t="s">
        <v>486</v>
      </c>
      <c r="D15" s="6" t="s">
        <v>487</v>
      </c>
      <c r="E15" s="2"/>
      <c r="F15" s="7" t="s">
        <v>455</v>
      </c>
      <c r="G15" s="7" t="s">
        <v>456</v>
      </c>
      <c r="H15" s="7" t="s">
        <v>457</v>
      </c>
      <c r="I15" s="7" t="s">
        <v>458</v>
      </c>
      <c r="J15" s="7" t="s">
        <v>459</v>
      </c>
      <c r="K15" s="7" t="s">
        <v>460</v>
      </c>
      <c r="L15" s="7" t="s">
        <v>461</v>
      </c>
      <c r="M15" s="7" t="s">
        <v>462</v>
      </c>
      <c r="N15" s="7" t="s">
        <v>15</v>
      </c>
    </row>
    <row r="16" customFormat="false" ht="15" hidden="false" customHeight="false" outlineLevel="0" collapsed="false">
      <c r="A16" s="2" t="s">
        <v>31</v>
      </c>
      <c r="B16" s="2" t="s">
        <v>463</v>
      </c>
      <c r="C16" s="2" t="s">
        <v>488</v>
      </c>
      <c r="D16" s="2" t="n">
        <v>5</v>
      </c>
      <c r="E16" s="2"/>
      <c r="F16" s="5" t="n">
        <f aca="false">IFERROR(AVERAGE(F3:F7),"")</f>
        <v>50.66</v>
      </c>
      <c r="G16" s="5" t="n">
        <f aca="false">IFERROR(AVERAGE(G3:G7),"")</f>
        <v>0.50386</v>
      </c>
      <c r="H16" s="5" t="n">
        <f aca="false">IFERROR(AVERAGE(H3:H7),"")</f>
        <v>7.666</v>
      </c>
      <c r="I16" s="5" t="n">
        <f aca="false">IFERROR(AVERAGE(I3:I7),"")</f>
        <v>4.688</v>
      </c>
      <c r="J16" s="5" t="n">
        <f aca="false">IFERROR(AVERAGE(J3:J7),"")</f>
        <v>17.304</v>
      </c>
      <c r="K16" s="5" t="n">
        <f aca="false">IFERROR(AVERAGE(K3:K7),"")</f>
        <v>17.074</v>
      </c>
      <c r="L16" s="5" t="n">
        <f aca="false">IFERROR(AVERAGE(L3:L7),"")</f>
        <v>0.8579</v>
      </c>
      <c r="M16" s="5" t="n">
        <f aca="false">IFERROR(AVERAGE(M3:M7),"")</f>
        <v>0.00314</v>
      </c>
      <c r="N16" s="5" t="n">
        <f aca="false">IFERROR(AVERAGE(N3:N7),"")</f>
        <v>98.756</v>
      </c>
    </row>
    <row r="17" customFormat="false" ht="15" hidden="false" customHeight="false" outlineLevel="0" collapsed="false">
      <c r="A17" s="2" t="s">
        <v>31</v>
      </c>
      <c r="B17" s="2" t="s">
        <v>463</v>
      </c>
      <c r="C17" s="2" t="s">
        <v>489</v>
      </c>
      <c r="D17" s="2" t="n">
        <v>5</v>
      </c>
      <c r="E17" s="2"/>
      <c r="F17" s="5" t="n">
        <f aca="false">IFERROR(STDEV(F3:F7),"")</f>
        <v>0.217025344142106</v>
      </c>
      <c r="G17" s="5" t="n">
        <f aca="false">IFERROR(STDEV(G3:G7),"")</f>
        <v>0.00604838821505367</v>
      </c>
      <c r="H17" s="5" t="n">
        <f aca="false">IFERROR(STDEV(H3:H7),"")</f>
        <v>0.048270073544589</v>
      </c>
      <c r="I17" s="5" t="n">
        <f aca="false">IFERROR(STDEV(I3:I7),"")</f>
        <v>0.0148323969741914</v>
      </c>
      <c r="J17" s="5" t="n">
        <f aca="false">IFERROR(STDEV(J3:J7),"")</f>
        <v>0.0820365772079737</v>
      </c>
      <c r="K17" s="5" t="n">
        <f aca="false">IFERROR(STDEV(K3:K7),"")</f>
        <v>0.113269589917153</v>
      </c>
      <c r="L17" s="5" t="n">
        <f aca="false">IFERROR(STDEV(L3:L7),"")</f>
        <v>0.00597871223592503</v>
      </c>
      <c r="M17" s="5" t="n">
        <f aca="false">IFERROR(STDEV(M3:M7),"")</f>
        <v>0.00429511350257476</v>
      </c>
      <c r="N17" s="5" t="n">
        <f aca="false">IFERROR(STDEV(N3:N7),"")</f>
        <v>0.111040533139931</v>
      </c>
    </row>
    <row r="18" customFormat="false" ht="15" hidden="false" customHeight="false" outlineLevel="0" collapsed="false">
      <c r="A18" s="2" t="s">
        <v>31</v>
      </c>
      <c r="B18" s="2" t="s">
        <v>463</v>
      </c>
      <c r="C18" s="2" t="s">
        <v>490</v>
      </c>
      <c r="D18" s="2" t="n">
        <v>5</v>
      </c>
      <c r="E18" s="2"/>
      <c r="F18" s="5" t="n">
        <f aca="false">IFERROR(F17/F16*100,"")</f>
        <v>0.428395862894011</v>
      </c>
      <c r="G18" s="5" t="n">
        <f aca="false">IFERROR(G17/G16*100,"")</f>
        <v>1.20041047415029</v>
      </c>
      <c r="H18" s="5" t="n">
        <f aca="false">IFERROR(H17/H16*100,"")</f>
        <v>0.629664408356235</v>
      </c>
      <c r="I18" s="5" t="n">
        <f aca="false">IFERROR(I17/I16*100,"")</f>
        <v>0.316390720439236</v>
      </c>
      <c r="J18" s="5" t="n">
        <f aca="false">IFERROR(J17/J16*100,"")</f>
        <v>0.474090252010944</v>
      </c>
      <c r="K18" s="5" t="n">
        <f aca="false">IFERROR(K17/K16*100,"")</f>
        <v>0.663403947037326</v>
      </c>
      <c r="L18" s="5" t="n">
        <f aca="false">IFERROR(L17/L16*100,"")</f>
        <v>0.696900831789839</v>
      </c>
      <c r="M18" s="5" t="n">
        <f aca="false">IFERROR(M17/M16*100,"")</f>
        <v>136.787054222126</v>
      </c>
      <c r="N18" s="5" t="n">
        <f aca="false">IFERROR(N17/N16*100,"")</f>
        <v>0.112439277755206</v>
      </c>
    </row>
    <row r="19" customFormat="false" ht="15" hidden="false" customHeight="false" outlineLevel="0" collapsed="false">
      <c r="A19" s="2" t="s">
        <v>31</v>
      </c>
      <c r="B19" s="2" t="s">
        <v>474</v>
      </c>
      <c r="C19" s="2" t="s">
        <v>488</v>
      </c>
      <c r="D19" s="2" t="n">
        <v>5</v>
      </c>
      <c r="E19" s="2"/>
      <c r="F19" s="5" t="n">
        <f aca="false">IFERROR(AVERAGE(F8:F12),"")</f>
        <v>51.792</v>
      </c>
      <c r="G19" s="5" t="n">
        <f aca="false">IFERROR(AVERAGE(G8:G12),"")</f>
        <v>0.04548</v>
      </c>
      <c r="H19" s="5" t="n">
        <f aca="false">IFERROR(AVERAGE(H8:H12),"")</f>
        <v>31.266</v>
      </c>
      <c r="I19" s="5" t="n">
        <f aca="false">IFERROR(AVERAGE(I8:I12),"")</f>
        <v>0.39874</v>
      </c>
      <c r="J19" s="5" t="n">
        <f aca="false">IFERROR(AVERAGE(J8:J12),"")</f>
        <v>0.1437</v>
      </c>
      <c r="K19" s="5" t="n">
        <f aca="false">IFERROR(AVERAGE(K8:K12),"")</f>
        <v>13.134</v>
      </c>
      <c r="L19" s="5" t="n">
        <f aca="false">IFERROR(AVERAGE(L8:L12),"")</f>
        <v>3.822</v>
      </c>
      <c r="M19" s="5" t="n">
        <f aca="false">IFERROR(AVERAGE(M8:M12),"")</f>
        <v>0.11702</v>
      </c>
      <c r="N19" s="5" t="n">
        <f aca="false">IFERROR(AVERAGE(N8:N12),"")</f>
        <v>100.72</v>
      </c>
    </row>
    <row r="20" customFormat="false" ht="15" hidden="false" customHeight="false" outlineLevel="0" collapsed="false">
      <c r="A20" s="2" t="s">
        <v>31</v>
      </c>
      <c r="B20" s="2" t="s">
        <v>474</v>
      </c>
      <c r="C20" s="2" t="s">
        <v>489</v>
      </c>
      <c r="D20" s="2" t="n">
        <v>5</v>
      </c>
      <c r="E20" s="2"/>
      <c r="F20" s="5" t="n">
        <f aca="false">IFERROR(STDEV(F8:F12),"")</f>
        <v>0.134238593556399</v>
      </c>
      <c r="G20" s="5" t="n">
        <f aca="false">IFERROR(STDEV(G8:G12),"")</f>
        <v>0.00638020375850176</v>
      </c>
      <c r="H20" s="5" t="n">
        <f aca="false">IFERROR(STDEV(H8:H12),"")</f>
        <v>0.11458621208505</v>
      </c>
      <c r="I20" s="5" t="n">
        <f aca="false">IFERROR(STDEV(I8:I12),"")</f>
        <v>0.00492777840410868</v>
      </c>
      <c r="J20" s="5" t="n">
        <f aca="false">IFERROR(STDEV(J8:J12),"")</f>
        <v>0.00681212154912109</v>
      </c>
      <c r="K20" s="5" t="n">
        <f aca="false">IFERROR(STDEV(K8:K12),"")</f>
        <v>0.0702139587261678</v>
      </c>
      <c r="L20" s="5" t="n">
        <f aca="false">IFERROR(STDEV(L8:L12),"")</f>
        <v>0.0653452370108182</v>
      </c>
      <c r="M20" s="5" t="n">
        <f aca="false">IFERROR(STDEV(M8:M12),"")</f>
        <v>0.00640679326964746</v>
      </c>
      <c r="N20" s="5" t="n">
        <f aca="false">IFERROR(STDEV(N8:N12),"")</f>
        <v>0.185472369909919</v>
      </c>
    </row>
    <row r="21" customFormat="false" ht="15" hidden="false" customHeight="false" outlineLevel="0" collapsed="false">
      <c r="A21" s="2" t="s">
        <v>31</v>
      </c>
      <c r="B21" s="2" t="s">
        <v>474</v>
      </c>
      <c r="C21" s="2" t="s">
        <v>490</v>
      </c>
      <c r="D21" s="2" t="n">
        <v>5</v>
      </c>
      <c r="E21" s="2"/>
      <c r="F21" s="5" t="n">
        <f aca="false">IFERROR(F20/F19*100,"")</f>
        <v>0.259187893026721</v>
      </c>
      <c r="G21" s="5" t="n">
        <f aca="false">IFERROR(G20/G19*100,"")</f>
        <v>14.0285922570399</v>
      </c>
      <c r="H21" s="5" t="n">
        <f aca="false">IFERROR(H20/H19*100,"")</f>
        <v>0.366488236694972</v>
      </c>
      <c r="I21" s="5" t="n">
        <f aca="false">IFERROR(I20/I19*100,"")</f>
        <v>1.23583748911789</v>
      </c>
      <c r="J21" s="5" t="n">
        <f aca="false">IFERROR(J20/J19*100,"")</f>
        <v>4.74051603975024</v>
      </c>
      <c r="K21" s="5" t="n">
        <f aca="false">IFERROR(K20/K19*100,"")</f>
        <v>0.534596914315272</v>
      </c>
      <c r="L21" s="5" t="n">
        <f aca="false">IFERROR(L20/L19*100,"")</f>
        <v>1.70971316093193</v>
      </c>
      <c r="M21" s="5" t="n">
        <f aca="false">IFERROR(M20/M19*100,"")</f>
        <v>5.47495579358012</v>
      </c>
      <c r="N21" s="5" t="n">
        <f aca="false">IFERROR(N20/N19*100,"")</f>
        <v>0.184146515001905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5"/>
      <c r="G22" s="5"/>
      <c r="H22" s="5"/>
      <c r="I22" s="5"/>
      <c r="J22" s="5"/>
      <c r="K22" s="5"/>
      <c r="L22" s="5"/>
      <c r="M22" s="5"/>
      <c r="N22" s="5"/>
    </row>
    <row r="23" customFormat="false" ht="15" hidden="false" customHeight="false" outlineLevel="0" collapsed="false">
      <c r="A23" s="2" t="s">
        <v>491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492</v>
      </c>
      <c r="B1" s="1" t="s">
        <v>493</v>
      </c>
      <c r="C1" s="1" t="s">
        <v>494</v>
      </c>
    </row>
    <row r="2" customFormat="false" ht="15" hidden="false" customHeight="false" outlineLevel="0" collapsed="false">
      <c r="A2" s="2" t="s">
        <v>495</v>
      </c>
      <c r="B2" s="2" t="s">
        <v>0</v>
      </c>
      <c r="C2" s="2" t="s">
        <v>496</v>
      </c>
    </row>
    <row r="3" customFormat="false" ht="15" hidden="false" customHeight="false" outlineLevel="0" collapsed="false">
      <c r="A3" s="2" t="s">
        <v>495</v>
      </c>
      <c r="B3" s="2" t="s">
        <v>2</v>
      </c>
      <c r="C3" s="2" t="s">
        <v>497</v>
      </c>
    </row>
    <row r="4" customFormat="false" ht="15" hidden="false" customHeight="false" outlineLevel="0" collapsed="false">
      <c r="A4" s="2" t="s">
        <v>495</v>
      </c>
      <c r="B4" s="2" t="s">
        <v>3</v>
      </c>
      <c r="C4" s="2" t="s">
        <v>498</v>
      </c>
    </row>
    <row r="5" customFormat="false" ht="15" hidden="false" customHeight="false" outlineLevel="0" collapsed="false">
      <c r="A5" s="2" t="s">
        <v>495</v>
      </c>
      <c r="B5" s="2" t="s">
        <v>5</v>
      </c>
      <c r="C5" s="2" t="s">
        <v>499</v>
      </c>
    </row>
    <row r="6" customFormat="false" ht="15" hidden="false" customHeight="false" outlineLevel="0" collapsed="false">
      <c r="A6" s="2" t="s">
        <v>495</v>
      </c>
      <c r="B6" s="2" t="s">
        <v>6</v>
      </c>
      <c r="C6" s="2" t="s">
        <v>500</v>
      </c>
    </row>
    <row r="7" customFormat="false" ht="15" hidden="false" customHeight="false" outlineLevel="0" collapsed="false">
      <c r="A7" s="2" t="s">
        <v>495</v>
      </c>
      <c r="B7" s="2" t="s">
        <v>15</v>
      </c>
      <c r="C7" s="2" t="s">
        <v>501</v>
      </c>
    </row>
    <row r="8" customFormat="false" ht="15" hidden="false" customHeight="false" outlineLevel="0" collapsed="false">
      <c r="A8" s="2" t="s">
        <v>495</v>
      </c>
      <c r="B8" s="2" t="s">
        <v>4</v>
      </c>
      <c r="C8" s="2" t="s">
        <v>502</v>
      </c>
    </row>
    <row r="9" customFormat="false" ht="15" hidden="false" customHeight="false" outlineLevel="0" collapsed="false">
      <c r="A9" s="2" t="s">
        <v>495</v>
      </c>
      <c r="B9" s="2" t="s">
        <v>1</v>
      </c>
      <c r="C9" s="2" t="s">
        <v>503</v>
      </c>
    </row>
    <row r="10" customFormat="false" ht="15" hidden="false" customHeight="false" outlineLevel="0" collapsed="false">
      <c r="A10" s="2" t="s">
        <v>495</v>
      </c>
      <c r="B10" s="2" t="s">
        <v>7</v>
      </c>
      <c r="C10" s="2" t="s">
        <v>504</v>
      </c>
    </row>
    <row r="11" customFormat="false" ht="15" hidden="false" customHeight="false" outlineLevel="0" collapsed="false">
      <c r="A11" s="2" t="s">
        <v>495</v>
      </c>
      <c r="B11" s="2" t="s">
        <v>8</v>
      </c>
      <c r="C11" s="2" t="s">
        <v>505</v>
      </c>
    </row>
    <row r="12" customFormat="false" ht="15" hidden="false" customHeight="false" outlineLevel="0" collapsed="false">
      <c r="A12" s="2" t="s">
        <v>495</v>
      </c>
      <c r="B12" s="2" t="s">
        <v>9</v>
      </c>
      <c r="C12" s="2" t="s">
        <v>506</v>
      </c>
    </row>
    <row r="13" customFormat="false" ht="15" hidden="false" customHeight="false" outlineLevel="0" collapsed="false">
      <c r="A13" s="2" t="s">
        <v>495</v>
      </c>
      <c r="B13" s="2" t="s">
        <v>11</v>
      </c>
      <c r="C13" s="2" t="s">
        <v>507</v>
      </c>
    </row>
    <row r="14" customFormat="false" ht="15" hidden="false" customHeight="false" outlineLevel="0" collapsed="false">
      <c r="A14" s="2" t="s">
        <v>495</v>
      </c>
      <c r="B14" s="2" t="s">
        <v>12</v>
      </c>
      <c r="C14" s="2" t="s">
        <v>508</v>
      </c>
    </row>
    <row r="15" customFormat="false" ht="15" hidden="false" customHeight="false" outlineLevel="0" collapsed="false">
      <c r="A15" s="2" t="s">
        <v>495</v>
      </c>
      <c r="B15" s="2" t="s">
        <v>13</v>
      </c>
      <c r="C15" s="2" t="s">
        <v>509</v>
      </c>
    </row>
    <row r="16" customFormat="false" ht="15" hidden="false" customHeight="false" outlineLevel="0" collapsed="false">
      <c r="A16" s="2" t="s">
        <v>495</v>
      </c>
      <c r="B16" s="2" t="s">
        <v>14</v>
      </c>
      <c r="C16" s="2" t="s">
        <v>510</v>
      </c>
    </row>
    <row r="17" customFormat="false" ht="15" hidden="false" customHeight="false" outlineLevel="0" collapsed="false">
      <c r="A17" s="2" t="s">
        <v>495</v>
      </c>
      <c r="B17" s="2" t="s">
        <v>10</v>
      </c>
      <c r="C17" s="2" t="s">
        <v>511</v>
      </c>
    </row>
    <row r="18" customFormat="false" ht="15" hidden="false" customHeight="false" outlineLevel="0" collapsed="false">
      <c r="A18" s="2" t="s">
        <v>495</v>
      </c>
      <c r="B18" s="2" t="s">
        <v>16</v>
      </c>
      <c r="C18" s="2" t="s">
        <v>512</v>
      </c>
    </row>
    <row r="19" customFormat="false" ht="15" hidden="false" customHeight="false" outlineLevel="0" collapsed="false">
      <c r="A19" s="2" t="s">
        <v>495</v>
      </c>
      <c r="B19" s="2" t="s">
        <v>513</v>
      </c>
      <c r="C19" s="2" t="s">
        <v>514</v>
      </c>
    </row>
    <row r="20" customFormat="false" ht="15" hidden="false" customHeight="false" outlineLevel="0" collapsed="false">
      <c r="A20" s="2" t="s">
        <v>495</v>
      </c>
      <c r="B20" s="2" t="s">
        <v>25</v>
      </c>
      <c r="C20" s="2" t="s">
        <v>515</v>
      </c>
    </row>
    <row r="21" customFormat="false" ht="15" hidden="false" customHeight="false" outlineLevel="0" collapsed="false">
      <c r="A21" s="2" t="s">
        <v>495</v>
      </c>
      <c r="B21" s="2" t="s">
        <v>26</v>
      </c>
      <c r="C21" s="2" t="s">
        <v>516</v>
      </c>
    </row>
    <row r="22" customFormat="false" ht="15" hidden="false" customHeight="false" outlineLevel="0" collapsed="false">
      <c r="A22" s="2" t="s">
        <v>495</v>
      </c>
      <c r="B22" s="2" t="s">
        <v>27</v>
      </c>
      <c r="C22" s="2" t="s">
        <v>517</v>
      </c>
    </row>
    <row r="23" customFormat="false" ht="15" hidden="false" customHeight="false" outlineLevel="0" collapsed="false">
      <c r="A23" s="2" t="s">
        <v>518</v>
      </c>
      <c r="B23" s="2" t="s">
        <v>519</v>
      </c>
      <c r="C23" s="2" t="s">
        <v>520</v>
      </c>
    </row>
    <row r="24" customFormat="false" ht="15" hidden="false" customHeight="false" outlineLevel="0" collapsed="false">
      <c r="A24" s="2" t="s">
        <v>518</v>
      </c>
      <c r="B24" s="2" t="s">
        <v>306</v>
      </c>
      <c r="C24" s="2" t="s">
        <v>521</v>
      </c>
    </row>
    <row r="25" customFormat="false" ht="15" hidden="false" customHeight="false" outlineLevel="0" collapsed="false">
      <c r="A25" s="2" t="s">
        <v>518</v>
      </c>
      <c r="B25" s="2" t="s">
        <v>307</v>
      </c>
      <c r="C25" s="2" t="s">
        <v>522</v>
      </c>
    </row>
    <row r="26" customFormat="false" ht="15" hidden="false" customHeight="false" outlineLevel="0" collapsed="false">
      <c r="A26" s="2" t="s">
        <v>518</v>
      </c>
      <c r="B26" s="2" t="s">
        <v>308</v>
      </c>
      <c r="C26" s="2" t="s">
        <v>523</v>
      </c>
    </row>
    <row r="27" customFormat="false" ht="15" hidden="false" customHeight="false" outlineLevel="0" collapsed="false">
      <c r="A27" s="2" t="s">
        <v>518</v>
      </c>
      <c r="B27" s="2" t="s">
        <v>309</v>
      </c>
      <c r="C27" s="2" t="s">
        <v>524</v>
      </c>
    </row>
    <row r="28" customFormat="false" ht="15" hidden="false" customHeight="false" outlineLevel="0" collapsed="false">
      <c r="A28" s="2" t="s">
        <v>518</v>
      </c>
      <c r="B28" s="2" t="s">
        <v>310</v>
      </c>
      <c r="C28" s="2" t="s">
        <v>525</v>
      </c>
    </row>
    <row r="29" customFormat="false" ht="15" hidden="false" customHeight="false" outlineLevel="0" collapsed="false">
      <c r="A29" s="2" t="s">
        <v>518</v>
      </c>
      <c r="B29" s="2" t="s">
        <v>311</v>
      </c>
      <c r="C29" s="2" t="s">
        <v>526</v>
      </c>
    </row>
    <row r="30" customFormat="false" ht="15" hidden="false" customHeight="false" outlineLevel="0" collapsed="false">
      <c r="A30" s="2" t="s">
        <v>518</v>
      </c>
      <c r="B30" s="2" t="s">
        <v>312</v>
      </c>
      <c r="C30" s="2" t="s">
        <v>527</v>
      </c>
    </row>
    <row r="31" customFormat="false" ht="15" hidden="false" customHeight="false" outlineLevel="0" collapsed="false">
      <c r="A31" s="2" t="s">
        <v>518</v>
      </c>
      <c r="B31" s="2" t="s">
        <v>313</v>
      </c>
      <c r="C31" s="2" t="s">
        <v>528</v>
      </c>
    </row>
    <row r="32" customFormat="false" ht="15" hidden="false" customHeight="false" outlineLevel="0" collapsed="false">
      <c r="A32" s="2" t="s">
        <v>518</v>
      </c>
      <c r="B32" s="2" t="s">
        <v>314</v>
      </c>
      <c r="C32" s="2" t="s">
        <v>529</v>
      </c>
    </row>
    <row r="33" customFormat="false" ht="15" hidden="false" customHeight="false" outlineLevel="0" collapsed="false">
      <c r="A33" s="2" t="s">
        <v>530</v>
      </c>
      <c r="B33" s="2" t="s">
        <v>4</v>
      </c>
      <c r="C33" s="2" t="s">
        <v>502</v>
      </c>
    </row>
    <row r="34" customFormat="false" ht="15" hidden="false" customHeight="false" outlineLevel="0" collapsed="false">
      <c r="A34" s="2" t="s">
        <v>530</v>
      </c>
      <c r="B34" s="2" t="s">
        <v>453</v>
      </c>
      <c r="C34" s="2" t="s">
        <v>531</v>
      </c>
    </row>
    <row r="35" customFormat="false" ht="15" hidden="false" customHeight="false" outlineLevel="0" collapsed="false">
      <c r="A35" s="2" t="s">
        <v>530</v>
      </c>
      <c r="B35" s="2" t="s">
        <v>532</v>
      </c>
      <c r="C35" s="2" t="s">
        <v>533</v>
      </c>
    </row>
    <row r="36" customFormat="false" ht="15" hidden="false" customHeight="false" outlineLevel="0" collapsed="false">
      <c r="A36" s="2" t="s">
        <v>530</v>
      </c>
      <c r="B36" s="2" t="s">
        <v>534</v>
      </c>
      <c r="C36" s="2" t="s">
        <v>535</v>
      </c>
    </row>
    <row r="37" customFormat="false" ht="15" hidden="false" customHeight="false" outlineLevel="0" collapsed="false">
      <c r="A37" s="2" t="s">
        <v>530</v>
      </c>
      <c r="B37" s="2" t="s">
        <v>536</v>
      </c>
      <c r="C37" s="2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2026-08-27T18:04:36Z</dcterms:created>
  <dc:creator>openpyxl</dc:creator>
  <dc:description/>
  <dc:language>en-US</dc:language>
  <cp:lastModifiedBy/>
  <dcterms:modified xsi:type="dcterms:W3CDTF">2026-08-27T18:04:36Z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