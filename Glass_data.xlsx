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ASS" sheetId="1" state="visible" r:id="rId3"/>
    <sheet name="Count" sheetId="2" state="visible" r:id="rId4"/>
    <sheet name="STD" sheetId="3" state="visible" r:id="rId5"/>
    <sheet name="Heading_Lege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<sst xmlns="http://schemas.openxmlformats.org/spreadsheetml/2006/main" count="1071" uniqueCount="393">
  <si>
    <t xml:space="preserve">Sample_ID</t>
  </si>
  <si>
    <t xml:space="preserve">Eruption</t>
  </si>
  <si>
    <t xml:space="preserve">Sample</t>
  </si>
  <si>
    <t xml:space="preserve">Session</t>
  </si>
  <si>
    <t xml:space="preserve">Number</t>
  </si>
  <si>
    <t xml:space="preserve">Date</t>
  </si>
  <si>
    <t xml:space="preserve">SiO2_Liq</t>
  </si>
  <si>
    <t xml:space="preserve">TiO2_Liq</t>
  </si>
  <si>
    <t xml:space="preserve">Al2O3_Liq</t>
  </si>
  <si>
    <t xml:space="preserve">FeO_Liq</t>
  </si>
  <si>
    <t xml:space="preserve">MnO_Liq</t>
  </si>
  <si>
    <t xml:space="preserve">MgO_Liq</t>
  </si>
  <si>
    <t xml:space="preserve">CaO_Liq</t>
  </si>
  <si>
    <t xml:space="preserve">Na2O_Liq</t>
  </si>
  <si>
    <t xml:space="preserve">K2O_Liq</t>
  </si>
  <si>
    <t xml:space="preserve">P2O5_Liq</t>
  </si>
  <si>
    <t xml:space="preserve">Cl</t>
  </si>
  <si>
    <t xml:space="preserve">Total</t>
  </si>
  <si>
    <t xml:space="preserve">Si</t>
  </si>
  <si>
    <t xml:space="preserve">Ti</t>
  </si>
  <si>
    <t xml:space="preserve">Al</t>
  </si>
  <si>
    <t xml:space="preserve">Fe2</t>
  </si>
  <si>
    <t xml:space="preserve">Mn</t>
  </si>
  <si>
    <t xml:space="preserve">Mg</t>
  </si>
  <si>
    <t xml:space="preserve">Ca</t>
  </si>
  <si>
    <t xml:space="preserve">Na</t>
  </si>
  <si>
    <t xml:space="preserve">K</t>
  </si>
  <si>
    <t xml:space="preserve">Ph</t>
  </si>
  <si>
    <t xml:space="preserve">MgNum</t>
  </si>
  <si>
    <t xml:space="preserve">CaNum</t>
  </si>
  <si>
    <t xml:space="preserve">AlNum</t>
  </si>
  <si>
    <t xml:space="preserve">Ca_Al</t>
  </si>
  <si>
    <t xml:space="preserve">Si_sq</t>
  </si>
  <si>
    <t xml:space="preserve">Si_Ti</t>
  </si>
  <si>
    <t xml:space="preserve">InOPAMchull</t>
  </si>
  <si>
    <t xml:space="preserve">ProbSat</t>
  </si>
  <si>
    <t xml:space="preserve">State</t>
  </si>
  <si>
    <t xml:space="preserve">T_degC</t>
  </si>
  <si>
    <t xml:space="preserve">P_kbar</t>
  </si>
  <si>
    <t xml:space="preserve">Depth_km</t>
  </si>
  <si>
    <t xml:space="preserve">P_kbar_n</t>
  </si>
  <si>
    <t xml:space="preserve">P_kbar_mean</t>
  </si>
  <si>
    <t xml:space="preserve">P_kbar_std</t>
  </si>
  <si>
    <t xml:space="preserve">P_kbar_p2_5</t>
  </si>
  <si>
    <t xml:space="preserve">P_kbar_median</t>
  </si>
  <si>
    <t xml:space="preserve">P_kbar_p97_5</t>
  </si>
  <si>
    <t xml:space="preserve">T_degC_mean</t>
  </si>
  <si>
    <t xml:space="preserve">T_degC_std</t>
  </si>
  <si>
    <t xml:space="preserve">T_degC_p2_5</t>
  </si>
  <si>
    <t xml:space="preserve">T_degC_median</t>
  </si>
  <si>
    <t xml:space="preserve">T_degC_p97_5</t>
  </si>
  <si>
    <t xml:space="preserve">Depth_km_err_low</t>
  </si>
  <si>
    <t xml:space="preserve">Depth_km_err_high</t>
  </si>
  <si>
    <t xml:space="preserve">Fe15_17_gl_1</t>
  </si>
  <si>
    <t xml:space="preserve">Fe15_17</t>
  </si>
  <si>
    <t xml:space="preserve">LW_240225_glass</t>
  </si>
  <si>
    <t xml:space="preserve">Feb 24 20:22 2025</t>
  </si>
  <si>
    <t xml:space="preserve">SAT</t>
  </si>
  <si>
    <t xml:space="preserve">Fe15_17_gl_2</t>
  </si>
  <si>
    <t xml:space="preserve">Feb 24 20:26 2025</t>
  </si>
  <si>
    <t xml:space="preserve">Fe15_17_gl_3</t>
  </si>
  <si>
    <t xml:space="preserve">Feb 24 20:30 2025</t>
  </si>
  <si>
    <t xml:space="preserve">Fe15_17_gl_4</t>
  </si>
  <si>
    <t xml:space="preserve">Feb 24 20:34 2025</t>
  </si>
  <si>
    <t xml:space="preserve">Fe15_17_gl_5</t>
  </si>
  <si>
    <t xml:space="preserve">Feb 24 20:38 2025</t>
  </si>
  <si>
    <t xml:space="preserve">Fe15_17_gl_6</t>
  </si>
  <si>
    <t xml:space="preserve">Feb 24 20:42 2025</t>
  </si>
  <si>
    <t xml:space="preserve">Fe15_17_gl_7</t>
  </si>
  <si>
    <t xml:space="preserve">Feb 24 20:46 2025</t>
  </si>
  <si>
    <t xml:space="preserve">Fe15_17_gl_8</t>
  </si>
  <si>
    <t xml:space="preserve">Feb 24 20:50 2025</t>
  </si>
  <si>
    <t xml:space="preserve">Fe15_17_gl_9</t>
  </si>
  <si>
    <t xml:space="preserve">Feb 24 20:54 2025</t>
  </si>
  <si>
    <t xml:space="preserve">Fe15_17_gl_10</t>
  </si>
  <si>
    <t xml:space="preserve">Feb 24 20:58 2025</t>
  </si>
  <si>
    <t xml:space="preserve">Fe15_17_gl_11</t>
  </si>
  <si>
    <t xml:space="preserve">Feb 24 21:02 2025</t>
  </si>
  <si>
    <t xml:space="preserve">Fe15_17_gl_12</t>
  </si>
  <si>
    <t xml:space="preserve">Feb 24 21:06 2025</t>
  </si>
  <si>
    <t xml:space="preserve">Fe15_17_gl_14</t>
  </si>
  <si>
    <t xml:space="preserve">Feb 24 21:13 2025</t>
  </si>
  <si>
    <t xml:space="preserve">Fe15_17_gl_15</t>
  </si>
  <si>
    <t xml:space="preserve">Feb 24 21:17 2025</t>
  </si>
  <si>
    <t xml:space="preserve">Fe15_17_gl_16</t>
  </si>
  <si>
    <t xml:space="preserve">Feb 24 21:21 2025</t>
  </si>
  <si>
    <t xml:space="preserve">Fe15_17_gl_17</t>
  </si>
  <si>
    <t xml:space="preserve">Feb 24 21:25 2025</t>
  </si>
  <si>
    <t xml:space="preserve">Fe15_17_gl_18</t>
  </si>
  <si>
    <t xml:space="preserve">Feb 24 21:29 2025</t>
  </si>
  <si>
    <t xml:space="preserve">Fe15_17_gl_19</t>
  </si>
  <si>
    <t xml:space="preserve">Feb 24 21:33 2025</t>
  </si>
  <si>
    <t xml:space="preserve">Fe15_17_gl_20</t>
  </si>
  <si>
    <t xml:space="preserve">Feb 24 21:37 2025</t>
  </si>
  <si>
    <t xml:space="preserve">Fe15_17_gl_21</t>
  </si>
  <si>
    <t xml:space="preserve">Feb 24 21:41 2025</t>
  </si>
  <si>
    <t xml:space="preserve">Fe15_17_gl_22</t>
  </si>
  <si>
    <t xml:space="preserve">Feb 24 21:45 2025</t>
  </si>
  <si>
    <t xml:space="preserve">Fe15_17_gl_23</t>
  </si>
  <si>
    <t xml:space="preserve">Feb 24 21:49 2025</t>
  </si>
  <si>
    <t xml:space="preserve">Fe15_17_gl_24</t>
  </si>
  <si>
    <t xml:space="preserve">Feb 24 21:53 2025</t>
  </si>
  <si>
    <t xml:space="preserve">Fe15_17_gl_25</t>
  </si>
  <si>
    <t xml:space="preserve">Feb 24 21:57 2025</t>
  </si>
  <si>
    <t xml:space="preserve">Fe15_17_gl_26</t>
  </si>
  <si>
    <t xml:space="preserve">Feb 24 22:01 2025</t>
  </si>
  <si>
    <t xml:space="preserve">UNSAT</t>
  </si>
  <si>
    <t xml:space="preserve">Fe15_17_gl_27</t>
  </si>
  <si>
    <t xml:space="preserve">Feb 24 22:05 2025</t>
  </si>
  <si>
    <t xml:space="preserve">Fe15_17_gl_28</t>
  </si>
  <si>
    <t xml:space="preserve">Feb 24 22:08 2025</t>
  </si>
  <si>
    <t xml:space="preserve">Fe15_17_gl_29</t>
  </si>
  <si>
    <t xml:space="preserve">Feb 24 22:12 2025</t>
  </si>
  <si>
    <t xml:space="preserve">Fe15_17_gl_30</t>
  </si>
  <si>
    <t xml:space="preserve">Feb 24 22:16 2025</t>
  </si>
  <si>
    <t xml:space="preserve">Fe15_17_gl_31</t>
  </si>
  <si>
    <t xml:space="preserve">Feb 24 22:20 2025</t>
  </si>
  <si>
    <t xml:space="preserve">Fe15_17_gl_32</t>
  </si>
  <si>
    <t xml:space="preserve">Feb 24 22:24 2025</t>
  </si>
  <si>
    <t xml:space="preserve">Fe15_17_gl_33</t>
  </si>
  <si>
    <t xml:space="preserve">Feb 24 22:28 2025</t>
  </si>
  <si>
    <t xml:space="preserve">Fe15_17_gl_34</t>
  </si>
  <si>
    <t xml:space="preserve">Feb 24 22:32 2025</t>
  </si>
  <si>
    <t xml:space="preserve">Fe15_17_gl_35</t>
  </si>
  <si>
    <t xml:space="preserve">Feb 24 22:36 2025</t>
  </si>
  <si>
    <t xml:space="preserve">Fe15_17_gl_36</t>
  </si>
  <si>
    <t xml:space="preserve">Feb 24 22:40 2025</t>
  </si>
  <si>
    <t xml:space="preserve">Fe15_17_gl_37</t>
  </si>
  <si>
    <t xml:space="preserve">Feb 24 22:44 2025</t>
  </si>
  <si>
    <t xml:space="preserve">Fe15_17_gl_38</t>
  </si>
  <si>
    <t xml:space="preserve">Feb 24 22:48 2025</t>
  </si>
  <si>
    <t xml:space="preserve">Fe15_17_gl_39</t>
  </si>
  <si>
    <t xml:space="preserve">Feb 24 22:52 2025</t>
  </si>
  <si>
    <t xml:space="preserve">Fe15_17_gl_40</t>
  </si>
  <si>
    <t xml:space="preserve">Feb 24 22:56 2025</t>
  </si>
  <si>
    <t xml:space="preserve">Fe15_19_gl_1</t>
  </si>
  <si>
    <t xml:space="preserve">Fe15_19</t>
  </si>
  <si>
    <t xml:space="preserve">Feb 24 23:00 2025</t>
  </si>
  <si>
    <t xml:space="preserve">Fe15_19_gl_2</t>
  </si>
  <si>
    <t xml:space="preserve">Feb 24 23:04 2025</t>
  </si>
  <si>
    <t xml:space="preserve">Fe15_19_gl_3</t>
  </si>
  <si>
    <t xml:space="preserve">Feb 24 23:08 2025</t>
  </si>
  <si>
    <t xml:space="preserve">Fe15_19_gl_4</t>
  </si>
  <si>
    <t xml:space="preserve">Feb 24 23:11 2025</t>
  </si>
  <si>
    <t xml:space="preserve">Fe15_19_gl_5</t>
  </si>
  <si>
    <t xml:space="preserve">Feb 24 23:15 2025</t>
  </si>
  <si>
    <t xml:space="preserve">Fe15_19_gl_6</t>
  </si>
  <si>
    <t xml:space="preserve">Feb 24 23:19 2025</t>
  </si>
  <si>
    <t xml:space="preserve">Fe15_19_gl_7</t>
  </si>
  <si>
    <t xml:space="preserve">Feb 24 23:23 2025</t>
  </si>
  <si>
    <t xml:space="preserve">Fe15_19_gl_8</t>
  </si>
  <si>
    <t xml:space="preserve">Feb 24 23:27 2025</t>
  </si>
  <si>
    <t xml:space="preserve">Fe15_19_gl_9</t>
  </si>
  <si>
    <t xml:space="preserve">Feb 24 23:31 2025</t>
  </si>
  <si>
    <t xml:space="preserve">Fe15_19_gl_10</t>
  </si>
  <si>
    <t xml:space="preserve">Feb 24 23:35 2025</t>
  </si>
  <si>
    <t xml:space="preserve">Fe15_19_gl_11</t>
  </si>
  <si>
    <t xml:space="preserve">Feb 24 23:39 2025</t>
  </si>
  <si>
    <t xml:space="preserve">Fe15_19_gl_12</t>
  </si>
  <si>
    <t xml:space="preserve">Feb 24 23:43 2025</t>
  </si>
  <si>
    <t xml:space="preserve">Fe15_19_gl_13</t>
  </si>
  <si>
    <t xml:space="preserve">Feb 24 23:47 2025</t>
  </si>
  <si>
    <t xml:space="preserve">Fe15_19_gl_14</t>
  </si>
  <si>
    <t xml:space="preserve">Feb 24 23:51 2025</t>
  </si>
  <si>
    <t xml:space="preserve">Fe15_19_gl_15</t>
  </si>
  <si>
    <t xml:space="preserve">Feb 24 23:55 2025</t>
  </si>
  <si>
    <t xml:space="preserve">Fe15_19_gl_16</t>
  </si>
  <si>
    <t xml:space="preserve">Feb 24 23:59 2025</t>
  </si>
  <si>
    <t xml:space="preserve">Fe15_19_gl_17</t>
  </si>
  <si>
    <t xml:space="preserve">Feb 25 00:02 2025</t>
  </si>
  <si>
    <t xml:space="preserve">Fe15_19_gl_18</t>
  </si>
  <si>
    <t xml:space="preserve">Feb 25 00:06 2025</t>
  </si>
  <si>
    <t xml:space="preserve">Fe15_19_gl_19</t>
  </si>
  <si>
    <t xml:space="preserve">Feb 25 00:10 2025</t>
  </si>
  <si>
    <t xml:space="preserve">Fe15_19_gl_20</t>
  </si>
  <si>
    <t xml:space="preserve">Feb 25 00:14 2025</t>
  </si>
  <si>
    <t xml:space="preserve">Fe15_19_gl_21</t>
  </si>
  <si>
    <t xml:space="preserve">Feb 25 00:18 2025</t>
  </si>
  <si>
    <t xml:space="preserve">Fe15_19_gl_22</t>
  </si>
  <si>
    <t xml:space="preserve">Feb 25 00:22 2025</t>
  </si>
  <si>
    <t xml:space="preserve">Fe15_19_gl_23</t>
  </si>
  <si>
    <t xml:space="preserve">Feb 25 00:26 2025</t>
  </si>
  <si>
    <t xml:space="preserve">Fe15_19_gl_24</t>
  </si>
  <si>
    <t xml:space="preserve">Feb 25 00:30 2025</t>
  </si>
  <si>
    <t xml:space="preserve">Fe15_19_gl_25</t>
  </si>
  <si>
    <t xml:space="preserve">Feb 25 00:34 2025</t>
  </si>
  <si>
    <t xml:space="preserve">Fe15_19_gl_26</t>
  </si>
  <si>
    <t xml:space="preserve">Feb 25 00:38 2025</t>
  </si>
  <si>
    <t xml:space="preserve">Fe15_19_gl_27</t>
  </si>
  <si>
    <t xml:space="preserve">Feb 25 00:42 2025</t>
  </si>
  <si>
    <t xml:space="preserve">Fe15_19_gl_28</t>
  </si>
  <si>
    <t xml:space="preserve">Feb 25 00:46 2025</t>
  </si>
  <si>
    <t xml:space="preserve">Fe15_19_gl_29</t>
  </si>
  <si>
    <t xml:space="preserve">Feb 25 00:50 2025</t>
  </si>
  <si>
    <t xml:space="preserve">Fe15_19_gl_31</t>
  </si>
  <si>
    <t xml:space="preserve">Feb 25 00:58 2025</t>
  </si>
  <si>
    <t xml:space="preserve">Fe15_19_gl_32</t>
  </si>
  <si>
    <t xml:space="preserve">Feb 25 01:01 2025</t>
  </si>
  <si>
    <t xml:space="preserve">Fe15_19_gl_33</t>
  </si>
  <si>
    <t xml:space="preserve">Feb 25 01:05 2025</t>
  </si>
  <si>
    <t xml:space="preserve">Fe15_19_gl_35</t>
  </si>
  <si>
    <t xml:space="preserve">Feb 25 01:13 2025</t>
  </si>
  <si>
    <t xml:space="preserve">Fe15_19_gl_36</t>
  </si>
  <si>
    <t xml:space="preserve">Feb 25 01:17 2025</t>
  </si>
  <si>
    <t xml:space="preserve">Fe15_19_gl_37</t>
  </si>
  <si>
    <t xml:space="preserve">Feb 25 01:21 2025</t>
  </si>
  <si>
    <t xml:space="preserve">Fe15_19_gl_38</t>
  </si>
  <si>
    <t xml:space="preserve">Feb 25 01:25 2025</t>
  </si>
  <si>
    <t xml:space="preserve">Fe15_19_gl_39</t>
  </si>
  <si>
    <t xml:space="preserve">Feb 25 01:29 2025</t>
  </si>
  <si>
    <t xml:space="preserve">Label</t>
  </si>
  <si>
    <t xml:space="preserve">SiO2_Err</t>
  </si>
  <si>
    <t xml:space="preserve">TiO2_Err</t>
  </si>
  <si>
    <t xml:space="preserve">Al2O3_Err</t>
  </si>
  <si>
    <t xml:space="preserve">FeO_Err</t>
  </si>
  <si>
    <t xml:space="preserve">MnO_Err</t>
  </si>
  <si>
    <t xml:space="preserve">MgO_Err</t>
  </si>
  <si>
    <t xml:space="preserve">CaO_Err</t>
  </si>
  <si>
    <t xml:space="preserve">Na2O_Err</t>
  </si>
  <si>
    <t xml:space="preserve">K2O_Err</t>
  </si>
  <si>
    <t xml:space="preserve">P2O5_Err</t>
  </si>
  <si>
    <t xml:space="preserve">Cl_Err</t>
  </si>
  <si>
    <t xml:space="preserve">Fe15_19_gl_30</t>
  </si>
  <si>
    <t xml:space="preserve">Fe15_19_gl_34</t>
  </si>
  <si>
    <t xml:space="preserve">Fe15_19_gl_40</t>
  </si>
  <si>
    <t xml:space="preserve">Fe15_19A_gl_1</t>
  </si>
  <si>
    <t xml:space="preserve">Fe15_19A_gl_2</t>
  </si>
  <si>
    <t xml:space="preserve">Fe15_19A_gl_3</t>
  </si>
  <si>
    <t xml:space="preserve">Fe15_19A_gl_4</t>
  </si>
  <si>
    <t xml:space="preserve">Fe15_19A_gl_5</t>
  </si>
  <si>
    <t xml:space="preserve">Fe15_19A_gl_6</t>
  </si>
  <si>
    <t xml:space="preserve">Fe15_19A_gl_7</t>
  </si>
  <si>
    <t xml:space="preserve">Fe15_19A_gl_8</t>
  </si>
  <si>
    <t xml:space="preserve">Fe15_19A_gl_9</t>
  </si>
  <si>
    <t xml:space="preserve">Fe15_19A_gl_10</t>
  </si>
  <si>
    <t xml:space="preserve">Fe15_19A_gl_11</t>
  </si>
  <si>
    <t xml:space="preserve">Fe15_19A_gl_12</t>
  </si>
  <si>
    <t xml:space="preserve">Fe15_19A_gl_13</t>
  </si>
  <si>
    <t xml:space="preserve">Fe15_19A_gl_14</t>
  </si>
  <si>
    <t xml:space="preserve">Fe15_19A_gl_15</t>
  </si>
  <si>
    <t xml:space="preserve">Fe15_19A_gl_16</t>
  </si>
  <si>
    <t xml:space="preserve">Fe15_19A_gl_17</t>
  </si>
  <si>
    <t xml:space="preserve">Fe15_19A_gl_18</t>
  </si>
  <si>
    <t xml:space="preserve">Fe15_19A_gl_19</t>
  </si>
  <si>
    <t xml:space="preserve">Fe15_19A_gl_20</t>
  </si>
  <si>
    <t xml:space="preserve">Fe15_19A_gl_21</t>
  </si>
  <si>
    <t xml:space="preserve">Fe15_19A_gl_22</t>
  </si>
  <si>
    <t xml:space="preserve">Fe15_19A_gl_23</t>
  </si>
  <si>
    <t xml:space="preserve">Fe15_19A_gl_24</t>
  </si>
  <si>
    <t xml:space="preserve">Fe15_19A_gl_25</t>
  </si>
  <si>
    <t xml:space="preserve">Fe15_19A_gl_26</t>
  </si>
  <si>
    <t xml:space="preserve">Fe15_19A_gl_27</t>
  </si>
  <si>
    <t xml:space="preserve">Fe15_19A_gl_28</t>
  </si>
  <si>
    <t xml:space="preserve">Fe15_19A_gl_29</t>
  </si>
  <si>
    <t xml:space="preserve">Fe15_19A_gl_31</t>
  </si>
  <si>
    <t xml:space="preserve">Fe15_19A_gl_32</t>
  </si>
  <si>
    <t xml:space="preserve">Fe15_19A_gl_33</t>
  </si>
  <si>
    <t xml:space="preserve">Fe15_19A_gl_35</t>
  </si>
  <si>
    <t xml:space="preserve">Fe15_19A_gl_36</t>
  </si>
  <si>
    <t xml:space="preserve">Fe15_19A_gl_37</t>
  </si>
  <si>
    <t xml:space="preserve">Fe15_19A_gl_38</t>
  </si>
  <si>
    <t xml:space="preserve">Fe15_19A_gl_39</t>
  </si>
  <si>
    <t xml:space="preserve">Values are 1 sigma counting-statistic uncertainties reported per analysis by the probe software, as % relative to the measured concentration. 100 indicates the element was not detected. Label is the probe label, which differs from Sample_ID where the sample name was corrected after the session.</t>
  </si>
  <si>
    <t xml:space="preserve">Secondary standard analyses, glass session (24 February 2025, JEOL 8600, Oxford RLAHA)</t>
  </si>
  <si>
    <t xml:space="preserve">Standard</t>
  </si>
  <si>
    <t xml:space="preserve">No.</t>
  </si>
  <si>
    <t xml:space="preserve">SiO2</t>
  </si>
  <si>
    <t xml:space="preserve">TiO2</t>
  </si>
  <si>
    <t xml:space="preserve">Al2O3</t>
  </si>
  <si>
    <t xml:space="preserve">FeO</t>
  </si>
  <si>
    <t xml:space="preserve">MnO</t>
  </si>
  <si>
    <t xml:space="preserve">MgO</t>
  </si>
  <si>
    <t xml:space="preserve">CaO</t>
  </si>
  <si>
    <t xml:space="preserve">Na2O</t>
  </si>
  <si>
    <t xml:space="preserve">K2O</t>
  </si>
  <si>
    <t xml:space="preserve">P2O5</t>
  </si>
  <si>
    <t xml:space="preserve">Butte</t>
  </si>
  <si>
    <t xml:space="preserve">Butte-1</t>
  </si>
  <si>
    <t xml:space="preserve">Feb 24 19:35 2025</t>
  </si>
  <si>
    <t xml:space="preserve">Butte-2</t>
  </si>
  <si>
    <t xml:space="preserve">Feb 24 19:39 2025</t>
  </si>
  <si>
    <t xml:space="preserve">Butte-3</t>
  </si>
  <si>
    <t xml:space="preserve">Feb 24 19:43 2025</t>
  </si>
  <si>
    <t xml:space="preserve">Butte-4</t>
  </si>
  <si>
    <t xml:space="preserve">Feb 24 19:47 2025</t>
  </si>
  <si>
    <t xml:space="preserve">LIP3</t>
  </si>
  <si>
    <t xml:space="preserve">LIP3_6</t>
  </si>
  <si>
    <t xml:space="preserve">Feb 25 01:45 2025</t>
  </si>
  <si>
    <t xml:space="preserve">LIP3_7</t>
  </si>
  <si>
    <t xml:space="preserve">Feb 25 01:49 2025</t>
  </si>
  <si>
    <t xml:space="preserve">LIP3_8</t>
  </si>
  <si>
    <t xml:space="preserve">Feb 25 01:53 2025</t>
  </si>
  <si>
    <t xml:space="preserve">Lip</t>
  </si>
  <si>
    <t xml:space="preserve">Lip_1</t>
  </si>
  <si>
    <t xml:space="preserve">Feb 24 20:06 2025</t>
  </si>
  <si>
    <t xml:space="preserve">Lip_2</t>
  </si>
  <si>
    <t xml:space="preserve">Feb 24 20:10 2025</t>
  </si>
  <si>
    <t xml:space="preserve">Lip_3</t>
  </si>
  <si>
    <t xml:space="preserve">Feb 24 20:14 2025</t>
  </si>
  <si>
    <t xml:space="preserve">Lip_4</t>
  </si>
  <si>
    <t xml:space="preserve">Feb 24 20:18 2025</t>
  </si>
  <si>
    <t xml:space="preserve">Los_Posos</t>
  </si>
  <si>
    <t xml:space="preserve">Los_Posos_1</t>
  </si>
  <si>
    <t xml:space="preserve">Feb 24 19:51 2025</t>
  </si>
  <si>
    <t xml:space="preserve">Los_Posos_2</t>
  </si>
  <si>
    <t xml:space="preserve">Feb 24 19:55 2025</t>
  </si>
  <si>
    <t xml:space="preserve">Los_Posos_3</t>
  </si>
  <si>
    <t xml:space="preserve">Feb 24 19:59 2025</t>
  </si>
  <si>
    <t xml:space="preserve">Los_Posos_4</t>
  </si>
  <si>
    <t xml:space="preserve">Feb 24 20:02 2025</t>
  </si>
  <si>
    <t xml:space="preserve">Rhyolite_gl</t>
  </si>
  <si>
    <t xml:space="preserve">Rhyolite_gl-1</t>
  </si>
  <si>
    <t xml:space="preserve">Feb 24 19:19 2025</t>
  </si>
  <si>
    <t xml:space="preserve">Rhyolite_gl-2</t>
  </si>
  <si>
    <t xml:space="preserve">Feb 24 19:23 2025</t>
  </si>
  <si>
    <t xml:space="preserve">Rhyolite_gl-3</t>
  </si>
  <si>
    <t xml:space="preserve">Feb 24 19:27 2025</t>
  </si>
  <si>
    <t xml:space="preserve">Rhyolite_gl-4</t>
  </si>
  <si>
    <t xml:space="preserve">Feb 24 19:31 2025</t>
  </si>
  <si>
    <t xml:space="preserve">Summary by standard and session</t>
  </si>
  <si>
    <t xml:space="preserve">Statistic</t>
  </si>
  <si>
    <t xml:space="preserve">n</t>
  </si>
  <si>
    <t xml:space="preserve">Mean</t>
  </si>
  <si>
    <t xml:space="preserve">SD</t>
  </si>
  <si>
    <t xml:space="preserve">RSD (%)</t>
  </si>
  <si>
    <t xml:space="preserve">Standards were analysed under the glass conditions (15 kV, 6 nA, 10 um): the in-house Oxford rhyolitic glass standards Lipari (Lip, LIP3), Los Posos, Butte and Rhyolite. Add preferred values if an accuracy comparison is wanted. RSD is the within-session reproducibility.</t>
  </si>
  <si>
    <t xml:space="preserve">Sheet</t>
  </si>
  <si>
    <t xml:space="preserve">Heading</t>
  </si>
  <si>
    <t xml:space="preserve">Description</t>
  </si>
  <si>
    <t xml:space="preserve">GLASS</t>
  </si>
  <si>
    <t xml:space="preserve">Unique analysis identifier: sample_phase_crystal number_spot number</t>
  </si>
  <si>
    <t xml:space="preserve">Eruption year</t>
  </si>
  <si>
    <t xml:space="preserve">Sample code (Table 4.1)</t>
  </si>
  <si>
    <t xml:space="preserve">Probe analysis number within the session</t>
  </si>
  <si>
    <t xml:space="preserve">Date and time of analysis</t>
  </si>
  <si>
    <t xml:space="preserve">Analytical total (wt%)</t>
  </si>
  <si>
    <t xml:space="preserve">EPMA session file</t>
  </si>
  <si>
    <t xml:space="preserve">SiO2 (wt%), EPMA glass analysis, normalised to 100% anhydrous</t>
  </si>
  <si>
    <t xml:space="preserve">TiO2 (wt%), EPMA glass analysis, normalised to 100% anhydrous</t>
  </si>
  <si>
    <t xml:space="preserve">Al2O3 (wt%), EPMA glass analysis, normalised to 100% anhydrous</t>
  </si>
  <si>
    <t xml:space="preserve">MnO (wt%), EPMA glass analysis, normalised to 100% anhydrous</t>
  </si>
  <si>
    <t xml:space="preserve">MgO (wt%), EPMA glass analysis, normalised to 100% anhydrous</t>
  </si>
  <si>
    <t xml:space="preserve">CaO (wt%), EPMA glass analysis, normalised to 100% anhydrous</t>
  </si>
  <si>
    <t xml:space="preserve">Na2O (wt%), EPMA glass analysis, normalised to 100% anhydrous</t>
  </si>
  <si>
    <t xml:space="preserve">K2O (wt%), EPMA glass analysis, normalised to 100% anhydrous</t>
  </si>
  <si>
    <t xml:space="preserve">P2O5 (wt%), EPMA glass analysis, normalised to 100% anhydrous</t>
  </si>
  <si>
    <t xml:space="preserve">FeO total (wt%), all Fe as FeO, normalised to 100% anhydrous</t>
  </si>
  <si>
    <t xml:space="preserve">Cl (wt%), as measured</t>
  </si>
  <si>
    <t xml:space="preserve">Raw analytical total (wt%) before normalisation</t>
  </si>
  <si>
    <t xml:space="preserve">Si, Ti, Al, Fe2, Mn, Mg, Ca, Na, K, Ph</t>
  </si>
  <si>
    <t xml:space="preserve">Cation fractions normalised to a total of 1 (all Fe as Fe2+), OPAM input</t>
  </si>
  <si>
    <t xml:space="preserve">Mg# = 100 x Mg/(Mg + Fe total), cation basis</t>
  </si>
  <si>
    <t xml:space="preserve">Ca# = Ca/(Ca + Na), cation basis</t>
  </si>
  <si>
    <t xml:space="preserve">Al/(Al + Si), cation basis</t>
  </si>
  <si>
    <t xml:space="preserve">Ca/Al cation ratio</t>
  </si>
  <si>
    <t xml:space="preserve">Si_sq, Si_Ti</t>
  </si>
  <si>
    <t xml:space="preserve">Si^2 and Si x Ti regression terms of the OPAM model</t>
  </si>
  <si>
    <t xml:space="preserve">TRUE if the glass lies within the convex hull of the Higgins and Stock (2024) calibration dataset in all 28 pairwise oxide projections</t>
  </si>
  <si>
    <t xml:space="preserve">Probability of olivine-plagioclase-augite saturation from the Higgins and Stock (2024) OPAM model</t>
  </si>
  <si>
    <t xml:space="preserve">OPAM saturation classification (SAT = saturated, UNSAT = unsaturated)</t>
  </si>
  <si>
    <t xml:space="preserve">T_degC, P_kbar</t>
  </si>
  <si>
    <t xml:space="preserve">OPAM temperature (degrees C) and pressure (kbar), Higgins and Stock (2024), from the measured composition</t>
  </si>
  <si>
    <t xml:space="preserve">Depth converted from P_kbar using the crustal density model of Chapter 3</t>
  </si>
  <si>
    <t xml:space="preserve">Number of Monte Carlo iterations</t>
  </si>
  <si>
    <t xml:space="preserve">P_kbar_mean, P_kbar_std, P_kbar_p2_5, P_kbar_median, P_kbar_p97_5</t>
  </si>
  <si>
    <t xml:space="preserve">Mean, standard deviation, 2.5th percentile, median and 97.5th percentile of the Monte Carlo pressure distribution (kbar), inputs perturbed within analytical uncertainty</t>
  </si>
  <si>
    <t xml:space="preserve">T_degC_mean, T_degC_std, T_degC_p2_5, T_degC_median, T_degC_p97_5</t>
  </si>
  <si>
    <t xml:space="preserve">Same statistics for the Monte Carlo temperature distribution</t>
  </si>
  <si>
    <t xml:space="preserve">Depth_km_err_low, Depth_km_err_high</t>
  </si>
  <si>
    <t xml:space="preserve">Depth uncertainty from the 2.5 and 97.5 percentiles of the pressure distribution</t>
  </si>
  <si>
    <t xml:space="preserve">Count</t>
  </si>
  <si>
    <t xml:space="preserve">Sample_ID, Eruption, Sample, Session, Number</t>
  </si>
  <si>
    <t xml:space="preserve">As GLASS</t>
  </si>
  <si>
    <t xml:space="preserve">Probe label as recorded in the session file</t>
  </si>
  <si>
    <t xml:space="preserve">1 sigma counting-statistic uncertainty on SiO2 (% relative to measured concentration)</t>
  </si>
  <si>
    <t xml:space="preserve">1 sigma counting-statistic uncertainty on TiO2 (% relative to measured concentration)</t>
  </si>
  <si>
    <t xml:space="preserve">1 sigma counting-statistic uncertainty on Al2O3 (% relative to measured concentration)</t>
  </si>
  <si>
    <t xml:space="preserve">1 sigma counting-statistic uncertainty on FeO (% relative to measured concentration)</t>
  </si>
  <si>
    <t xml:space="preserve">1 sigma counting-statistic uncertainty on MnO (% relative to measured concentration)</t>
  </si>
  <si>
    <t xml:space="preserve">1 sigma counting-statistic uncertainty on MgO (% relative to measured concentration)</t>
  </si>
  <si>
    <t xml:space="preserve">1 sigma counting-statistic uncertainty on CaO (% relative to measured concentration)</t>
  </si>
  <si>
    <t xml:space="preserve">1 sigma counting-statistic uncertainty on Na2O (% relative to measured concentration)</t>
  </si>
  <si>
    <t xml:space="preserve">1 sigma counting-statistic uncertainty on K2O (% relative to measured concentration)</t>
  </si>
  <si>
    <t xml:space="preserve">1 sigma counting-statistic uncertainty on P2O5 (% relative to measured concentration)</t>
  </si>
  <si>
    <t xml:space="preserve">1 sigma counting-statistic uncertainty on Cl (% relative to measured concentration)</t>
  </si>
  <si>
    <t xml:space="preserve">STD</t>
  </si>
  <si>
    <t xml:space="preserve">Secondary standard analysed</t>
  </si>
  <si>
    <t xml:space="preserve">Label, No., Date</t>
  </si>
  <si>
    <t xml:space="preserve">Probe label, analysis number and time</t>
  </si>
  <si>
    <t xml:space="preserve">SiO2 ... Cl</t>
  </si>
  <si>
    <t xml:space="preserve">Measured oxide concentration (wt%); FeO is total Fe as FeO</t>
  </si>
  <si>
    <t xml:space="preserve">Mean, SD, RSD (%)</t>
  </si>
  <si>
    <t xml:space="preserve">Per-session mean, standard deviation and relative standard deviation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</si>
</sst>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7"/>
    <col collapsed="false" customWidth="true" hidden="false" outlineLevel="0" max="5" min="5" style="0" width="8"/>
    <col collapsed="false" customWidth="true" hidden="false" outlineLevel="0" max="6" min="6" style="0" width="19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3" min="10" style="0" width="9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28" min="17" style="0" width="8"/>
    <col collapsed="false" customWidth="true" hidden="false" outlineLevel="0" max="29" min="29" style="0" width="18"/>
    <col collapsed="false" customWidth="true" hidden="false" outlineLevel="0" max="32" min="30" style="0" width="19"/>
    <col collapsed="false" customWidth="true" hidden="false" outlineLevel="0" max="34" min="33" style="0" width="12"/>
    <col collapsed="false" customWidth="true" hidden="false" outlineLevel="0" max="35" min="35" style="0" width="13"/>
    <col collapsed="false" customWidth="true" hidden="false" outlineLevel="0" max="36" min="36" style="0" width="9"/>
    <col collapsed="false" customWidth="true" hidden="false" outlineLevel="0" max="39" min="37" style="0" width="8"/>
    <col collapsed="false" customWidth="true" hidden="false" outlineLevel="0" max="40" min="40" style="0" width="19"/>
    <col collapsed="false" customWidth="true" hidden="false" outlineLevel="0" max="41" min="41" style="0" width="10"/>
    <col collapsed="false" customWidth="true" hidden="false" outlineLevel="0" max="42" min="42" style="0" width="19"/>
    <col collapsed="false" customWidth="true" hidden="false" outlineLevel="0" max="43" min="43" style="0" width="20"/>
    <col collapsed="false" customWidth="true" hidden="false" outlineLevel="0" max="44" min="44" style="0" width="13"/>
    <col collapsed="false" customWidth="true" hidden="false" outlineLevel="0" max="45" min="45" style="0" width="15"/>
    <col collapsed="false" customWidth="true" hidden="false" outlineLevel="0" max="46" min="46" style="0" width="19"/>
    <col collapsed="false" customWidth="true" hidden="false" outlineLevel="0" max="47" min="47" style="0" width="13"/>
    <col collapsed="false" customWidth="true" hidden="false" outlineLevel="0" max="48" min="48" style="0" width="19"/>
    <col collapsed="false" customWidth="true" hidden="false" outlineLevel="0" max="49" min="49" style="0" width="13"/>
    <col collapsed="false" customWidth="true" hidden="false" outlineLevel="0" max="50" min="50" style="0" width="15"/>
    <col collapsed="false" customWidth="true" hidden="false" outlineLevel="0" max="51" min="51" style="0" width="14"/>
    <col collapsed="false" customWidth="true" hidden="false" outlineLevel="0" max="53" min="52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customFormat="false" ht="15" hidden="false" customHeight="false" outlineLevel="0" collapsed="false">
      <c r="A2" s="2" t="s">
        <v>53</v>
      </c>
      <c r="B2" s="2" t="n">
        <v>2009</v>
      </c>
      <c r="C2" s="2" t="s">
        <v>54</v>
      </c>
      <c r="D2" s="2" t="s">
        <v>55</v>
      </c>
      <c r="E2" s="2" t="n">
        <v>17</v>
      </c>
      <c r="F2" s="2" t="s">
        <v>56</v>
      </c>
      <c r="G2" s="2" t="n">
        <v>48.77</v>
      </c>
      <c r="H2" s="2" t="n">
        <v>3.43</v>
      </c>
      <c r="I2" s="2" t="n">
        <v>13.84</v>
      </c>
      <c r="J2" s="2" t="n">
        <v>11.98</v>
      </c>
      <c r="K2" s="2" t="n">
        <v>0.17</v>
      </c>
      <c r="L2" s="2" t="n">
        <v>6.53</v>
      </c>
      <c r="M2" s="2" t="n">
        <v>11.6</v>
      </c>
      <c r="N2" s="2" t="n">
        <v>2.96</v>
      </c>
      <c r="O2" s="2" t="n">
        <v>0.45</v>
      </c>
      <c r="P2" s="2" t="n">
        <v>0.27</v>
      </c>
      <c r="Q2" s="2" t="n">
        <v>0.02</v>
      </c>
      <c r="R2" s="2" t="n">
        <v>98.62</v>
      </c>
      <c r="S2" s="2" t="n">
        <v>0.4578</v>
      </c>
      <c r="T2" s="2" t="n">
        <v>0.0242</v>
      </c>
      <c r="U2" s="2" t="n">
        <v>0.1531</v>
      </c>
      <c r="V2" s="2" t="n">
        <v>0.094</v>
      </c>
      <c r="W2" s="2" t="n">
        <v>0.0014</v>
      </c>
      <c r="X2" s="2" t="n">
        <v>0.0914</v>
      </c>
      <c r="Y2" s="2" t="n">
        <v>0.1167</v>
      </c>
      <c r="Z2" s="2" t="n">
        <v>0.0539</v>
      </c>
      <c r="AA2" s="2" t="n">
        <v>0.0053</v>
      </c>
      <c r="AB2" s="2" t="n">
        <v>0.0022</v>
      </c>
      <c r="AC2" s="2" t="n">
        <v>49.2988133764833</v>
      </c>
      <c r="AD2" s="2" t="n">
        <v>0.684056271981243</v>
      </c>
      <c r="AE2" s="2" t="n">
        <v>0.250613848420363</v>
      </c>
      <c r="AF2" s="2" t="n">
        <v>0.762246897452645</v>
      </c>
      <c r="AG2" s="2" t="n">
        <v>0.20958084</v>
      </c>
      <c r="AH2" s="2" t="n">
        <v>0.01107876</v>
      </c>
      <c r="AI2" s="3" t="b">
        <f aca="false">TRUE()</f>
        <v>1</v>
      </c>
      <c r="AJ2" s="2" t="n">
        <v>0.946</v>
      </c>
      <c r="AK2" s="2" t="s">
        <v>57</v>
      </c>
      <c r="AL2" s="2" t="n">
        <v>1203</v>
      </c>
      <c r="AM2" s="2" t="n">
        <v>2.02</v>
      </c>
      <c r="AN2" s="2" t="n">
        <v>6.97848188</v>
      </c>
      <c r="AO2" s="2" t="n">
        <v>500</v>
      </c>
      <c r="AP2" s="2" t="n">
        <v>1.84986</v>
      </c>
      <c r="AQ2" s="2" t="n">
        <v>0.218133318613592</v>
      </c>
      <c r="AR2" s="2" t="n">
        <v>1.42</v>
      </c>
      <c r="AS2" s="2" t="n">
        <v>1.85</v>
      </c>
      <c r="AT2" s="2" t="n">
        <v>2.29525</v>
      </c>
      <c r="AU2" s="2" t="n">
        <v>1222.682</v>
      </c>
      <c r="AV2" s="2" t="n">
        <v>3.60317105940958</v>
      </c>
      <c r="AW2" s="2" t="n">
        <v>1216</v>
      </c>
      <c r="AX2" s="2" t="n">
        <v>1223</v>
      </c>
      <c r="AY2" s="2" t="n">
        <v>1230</v>
      </c>
      <c r="AZ2" s="2" t="n">
        <v>1.50623453</v>
      </c>
      <c r="BA2" s="2" t="n">
        <v>1.55944757385625</v>
      </c>
    </row>
    <row r="3" customFormat="false" ht="15" hidden="false" customHeight="false" outlineLevel="0" collapsed="false">
      <c r="A3" s="2" t="s">
        <v>58</v>
      </c>
      <c r="B3" s="2" t="n">
        <v>2009</v>
      </c>
      <c r="C3" s="2" t="s">
        <v>54</v>
      </c>
      <c r="D3" s="2" t="s">
        <v>55</v>
      </c>
      <c r="E3" s="2" t="n">
        <v>18</v>
      </c>
      <c r="F3" s="2" t="s">
        <v>59</v>
      </c>
      <c r="G3" s="2" t="n">
        <v>48.8</v>
      </c>
      <c r="H3" s="2" t="n">
        <v>3.44</v>
      </c>
      <c r="I3" s="2" t="n">
        <v>13.74</v>
      </c>
      <c r="J3" s="2" t="n">
        <v>11.98</v>
      </c>
      <c r="K3" s="2" t="n">
        <v>0.22</v>
      </c>
      <c r="L3" s="2" t="n">
        <v>6.49</v>
      </c>
      <c r="M3" s="2" t="n">
        <v>11.59</v>
      </c>
      <c r="N3" s="2" t="n">
        <v>2.96</v>
      </c>
      <c r="O3" s="2" t="n">
        <v>0.49</v>
      </c>
      <c r="P3" s="2" t="n">
        <v>0.28</v>
      </c>
      <c r="Q3" s="2" t="n">
        <v>0.02</v>
      </c>
      <c r="R3" s="2" t="n">
        <v>98.57</v>
      </c>
      <c r="S3" s="2" t="n">
        <v>0.4583</v>
      </c>
      <c r="T3" s="2" t="n">
        <v>0.0243</v>
      </c>
      <c r="U3" s="2" t="n">
        <v>0.152</v>
      </c>
      <c r="V3" s="2" t="n">
        <v>0.0941</v>
      </c>
      <c r="W3" s="2" t="n">
        <v>0.0018</v>
      </c>
      <c r="X3" s="2" t="n">
        <v>0.0909</v>
      </c>
      <c r="Y3" s="2" t="n">
        <v>0.1166</v>
      </c>
      <c r="Z3" s="2" t="n">
        <v>0.0539</v>
      </c>
      <c r="AA3" s="2" t="n">
        <v>0.0058</v>
      </c>
      <c r="AB3" s="2" t="n">
        <v>0.0023</v>
      </c>
      <c r="AC3" s="2" t="n">
        <v>49.1351351351351</v>
      </c>
      <c r="AD3" s="2" t="n">
        <v>0.683870967741936</v>
      </c>
      <c r="AE3" s="2" t="n">
        <v>0.249057840406358</v>
      </c>
      <c r="AF3" s="2" t="n">
        <v>0.767105263157895</v>
      </c>
      <c r="AG3" s="2" t="n">
        <v>0.21003889</v>
      </c>
      <c r="AH3" s="2" t="n">
        <v>0.01113669</v>
      </c>
      <c r="AI3" s="3" t="b">
        <f aca="false">TRUE()</f>
        <v>1</v>
      </c>
      <c r="AJ3" s="2" t="n">
        <v>0.941</v>
      </c>
      <c r="AK3" s="2" t="s">
        <v>57</v>
      </c>
      <c r="AL3" s="2" t="n">
        <v>1202</v>
      </c>
      <c r="AM3" s="2" t="n">
        <v>1.91</v>
      </c>
      <c r="AN3" s="2" t="n">
        <v>6.60483157</v>
      </c>
      <c r="AO3" s="2" t="n">
        <v>500</v>
      </c>
      <c r="AP3" s="2" t="n">
        <v>1.72032</v>
      </c>
      <c r="AQ3" s="2" t="n">
        <v>0.206690443608208</v>
      </c>
      <c r="AR3" s="2" t="n">
        <v>1.34</v>
      </c>
      <c r="AS3" s="2" t="n">
        <v>1.71</v>
      </c>
      <c r="AT3" s="2" t="n">
        <v>2.11</v>
      </c>
      <c r="AU3" s="2" t="n">
        <v>1224.612</v>
      </c>
      <c r="AV3" s="2" t="n">
        <v>3.87032489975445</v>
      </c>
      <c r="AW3" s="2" t="n">
        <v>1217</v>
      </c>
      <c r="AX3" s="2" t="n">
        <v>1225</v>
      </c>
      <c r="AY3" s="2" t="n">
        <v>1232</v>
      </c>
      <c r="AZ3" s="2" t="n">
        <v>1.29673493</v>
      </c>
      <c r="BA3" s="2" t="n">
        <v>1.401512</v>
      </c>
    </row>
    <row r="4" customFormat="false" ht="15" hidden="false" customHeight="false" outlineLevel="0" collapsed="false">
      <c r="A4" s="2" t="s">
        <v>60</v>
      </c>
      <c r="B4" s="2" t="n">
        <v>2009</v>
      </c>
      <c r="C4" s="2" t="s">
        <v>54</v>
      </c>
      <c r="D4" s="2" t="s">
        <v>55</v>
      </c>
      <c r="E4" s="2" t="n">
        <v>19</v>
      </c>
      <c r="F4" s="2" t="s">
        <v>61</v>
      </c>
      <c r="G4" s="2" t="n">
        <v>48.47</v>
      </c>
      <c r="H4" s="2" t="n">
        <v>3.55</v>
      </c>
      <c r="I4" s="2" t="n">
        <v>13.66</v>
      </c>
      <c r="J4" s="2" t="n">
        <v>12.22</v>
      </c>
      <c r="K4" s="2" t="n">
        <v>0.19</v>
      </c>
      <c r="L4" s="2" t="n">
        <v>6.53</v>
      </c>
      <c r="M4" s="2" t="n">
        <v>11.51</v>
      </c>
      <c r="N4" s="2" t="n">
        <v>2.99</v>
      </c>
      <c r="O4" s="2" t="n">
        <v>0.48</v>
      </c>
      <c r="P4" s="2" t="n">
        <v>0.41</v>
      </c>
      <c r="Q4" s="2" t="n">
        <v>0.02</v>
      </c>
      <c r="R4" s="2" t="n">
        <v>98.68</v>
      </c>
      <c r="S4" s="2" t="n">
        <v>0.4554</v>
      </c>
      <c r="T4" s="2" t="n">
        <v>0.0251</v>
      </c>
      <c r="U4" s="2" t="n">
        <v>0.1513</v>
      </c>
      <c r="V4" s="2" t="n">
        <v>0.096</v>
      </c>
      <c r="W4" s="2" t="n">
        <v>0.0015</v>
      </c>
      <c r="X4" s="2" t="n">
        <v>0.0914</v>
      </c>
      <c r="Y4" s="2" t="n">
        <v>0.1159</v>
      </c>
      <c r="Z4" s="2" t="n">
        <v>0.0545</v>
      </c>
      <c r="AA4" s="2" t="n">
        <v>0.0057</v>
      </c>
      <c r="AB4" s="2" t="n">
        <v>0.0032</v>
      </c>
      <c r="AC4" s="2" t="n">
        <v>48.7726787620064</v>
      </c>
      <c r="AD4" s="2" t="n">
        <v>0.680164319248826</v>
      </c>
      <c r="AE4" s="2" t="n">
        <v>0.249381902093292</v>
      </c>
      <c r="AF4" s="2" t="n">
        <v>0.766027759418374</v>
      </c>
      <c r="AG4" s="2" t="n">
        <v>0.20738916</v>
      </c>
      <c r="AH4" s="2" t="n">
        <v>0.01143054</v>
      </c>
      <c r="AI4" s="3" t="b">
        <f aca="false">TRUE()</f>
        <v>1</v>
      </c>
      <c r="AJ4" s="2" t="n">
        <v>0.944</v>
      </c>
      <c r="AK4" s="2" t="s">
        <v>57</v>
      </c>
      <c r="AL4" s="2" t="n">
        <v>1203</v>
      </c>
      <c r="AM4" s="2" t="n">
        <v>2.28</v>
      </c>
      <c r="AN4" s="2" t="n">
        <v>7.85874048</v>
      </c>
      <c r="AO4" s="2" t="n">
        <v>500</v>
      </c>
      <c r="AP4" s="2" t="n">
        <v>2.0633</v>
      </c>
      <c r="AQ4" s="2" t="n">
        <v>0.206122008929494</v>
      </c>
      <c r="AR4" s="2" t="n">
        <v>1.67</v>
      </c>
      <c r="AS4" s="2" t="n">
        <v>2.06</v>
      </c>
      <c r="AT4" s="2" t="n">
        <v>2.45</v>
      </c>
      <c r="AU4" s="2" t="n">
        <v>1229.05</v>
      </c>
      <c r="AV4" s="2" t="n">
        <v>3.58737208509989</v>
      </c>
      <c r="AW4" s="2" t="n">
        <v>1222</v>
      </c>
      <c r="AX4" s="2" t="n">
        <v>1229</v>
      </c>
      <c r="AY4" s="2" t="n">
        <v>1236</v>
      </c>
      <c r="AZ4" s="2" t="n">
        <v>1.36659237</v>
      </c>
      <c r="BA4" s="2" t="n">
        <v>1.36659237</v>
      </c>
    </row>
    <row r="5" customFormat="false" ht="15" hidden="false" customHeight="false" outlineLevel="0" collapsed="false">
      <c r="A5" s="2" t="s">
        <v>62</v>
      </c>
      <c r="B5" s="2" t="n">
        <v>2009</v>
      </c>
      <c r="C5" s="2" t="s">
        <v>54</v>
      </c>
      <c r="D5" s="2" t="s">
        <v>55</v>
      </c>
      <c r="E5" s="2" t="n">
        <v>20</v>
      </c>
      <c r="F5" s="2" t="s">
        <v>63</v>
      </c>
      <c r="G5" s="2" t="n">
        <v>48.52</v>
      </c>
      <c r="H5" s="2" t="n">
        <v>3.42</v>
      </c>
      <c r="I5" s="2" t="n">
        <v>13.93</v>
      </c>
      <c r="J5" s="2" t="n">
        <v>11.99</v>
      </c>
      <c r="K5" s="2" t="n">
        <v>0.22</v>
      </c>
      <c r="L5" s="2" t="n">
        <v>6.64</v>
      </c>
      <c r="M5" s="2" t="n">
        <v>11.64</v>
      </c>
      <c r="N5" s="2" t="n">
        <v>2.9</v>
      </c>
      <c r="O5" s="2" t="n">
        <v>0.45</v>
      </c>
      <c r="P5" s="2" t="n">
        <v>0.29</v>
      </c>
      <c r="Q5" s="2" t="n">
        <v>0.01</v>
      </c>
      <c r="R5" s="2" t="n">
        <v>99.02</v>
      </c>
      <c r="S5" s="2" t="n">
        <v>0.4555</v>
      </c>
      <c r="T5" s="2" t="n">
        <v>0.0242</v>
      </c>
      <c r="U5" s="2" t="n">
        <v>0.1541</v>
      </c>
      <c r="V5" s="2" t="n">
        <v>0.0941</v>
      </c>
      <c r="W5" s="2" t="n">
        <v>0.0018</v>
      </c>
      <c r="X5" s="2" t="n">
        <v>0.0929</v>
      </c>
      <c r="Y5" s="2" t="n">
        <v>0.117</v>
      </c>
      <c r="Z5" s="2" t="n">
        <v>0.0528</v>
      </c>
      <c r="AA5" s="2" t="n">
        <v>0.0054</v>
      </c>
      <c r="AB5" s="2" t="n">
        <v>0.0023</v>
      </c>
      <c r="AC5" s="2" t="n">
        <v>49.6791443850267</v>
      </c>
      <c r="AD5" s="2" t="n">
        <v>0.68904593639576</v>
      </c>
      <c r="AE5" s="2" t="n">
        <v>0.252788713910761</v>
      </c>
      <c r="AF5" s="2" t="n">
        <v>0.759247242050617</v>
      </c>
      <c r="AG5" s="2" t="n">
        <v>0.20748025</v>
      </c>
      <c r="AH5" s="2" t="n">
        <v>0.0110231</v>
      </c>
      <c r="AI5" s="3" t="b">
        <f aca="false">TRUE()</f>
        <v>1</v>
      </c>
      <c r="AJ5" s="2" t="n">
        <v>0.944</v>
      </c>
      <c r="AK5" s="2" t="s">
        <v>57</v>
      </c>
      <c r="AL5" s="2" t="n">
        <v>1204</v>
      </c>
      <c r="AM5" s="2" t="n">
        <v>2.41</v>
      </c>
      <c r="AN5" s="2" t="n">
        <v>8.29733357</v>
      </c>
      <c r="AO5" s="2" t="n">
        <v>500</v>
      </c>
      <c r="AP5" s="2" t="n">
        <v>2.20976</v>
      </c>
      <c r="AQ5" s="2" t="n">
        <v>0.212371716317836</v>
      </c>
      <c r="AR5" s="2" t="n">
        <v>1.79</v>
      </c>
      <c r="AS5" s="2" t="n">
        <v>2.21</v>
      </c>
      <c r="AT5" s="2" t="n">
        <v>2.64</v>
      </c>
      <c r="AU5" s="2" t="n">
        <v>1225.574</v>
      </c>
      <c r="AV5" s="2" t="n">
        <v>3.73207459217029</v>
      </c>
      <c r="AW5" s="2" t="n">
        <v>1219</v>
      </c>
      <c r="AX5" s="2" t="n">
        <v>1226</v>
      </c>
      <c r="AY5" s="2" t="n">
        <v>1233</v>
      </c>
      <c r="AZ5" s="2" t="n">
        <v>1.47133308</v>
      </c>
      <c r="BA5" s="2" t="n">
        <v>1.50623453</v>
      </c>
    </row>
    <row r="6" customFormat="false" ht="15" hidden="false" customHeight="false" outlineLevel="0" collapsed="false">
      <c r="A6" s="2" t="s">
        <v>64</v>
      </c>
      <c r="B6" s="2" t="n">
        <v>2009</v>
      </c>
      <c r="C6" s="2" t="s">
        <v>54</v>
      </c>
      <c r="D6" s="2" t="s">
        <v>55</v>
      </c>
      <c r="E6" s="2" t="n">
        <v>21</v>
      </c>
      <c r="F6" s="2" t="s">
        <v>65</v>
      </c>
      <c r="G6" s="2" t="n">
        <v>48.26</v>
      </c>
      <c r="H6" s="2" t="n">
        <v>3.66</v>
      </c>
      <c r="I6" s="2" t="n">
        <v>13.59</v>
      </c>
      <c r="J6" s="2" t="n">
        <v>12.44</v>
      </c>
      <c r="K6" s="2" t="n">
        <v>0.2</v>
      </c>
      <c r="L6" s="2" t="n">
        <v>6.41</v>
      </c>
      <c r="M6" s="2" t="n">
        <v>11.52</v>
      </c>
      <c r="N6" s="2" t="n">
        <v>3.18</v>
      </c>
      <c r="O6" s="2" t="n">
        <v>0.46</v>
      </c>
      <c r="P6" s="2" t="n">
        <v>0.3</v>
      </c>
      <c r="Q6" s="2" t="n">
        <v>0.01</v>
      </c>
      <c r="R6" s="2" t="n">
        <v>98.2</v>
      </c>
      <c r="S6" s="2" t="n">
        <v>0.4533</v>
      </c>
      <c r="T6" s="2" t="n">
        <v>0.0258</v>
      </c>
      <c r="U6" s="2" t="n">
        <v>0.1504</v>
      </c>
      <c r="V6" s="2" t="n">
        <v>0.0977</v>
      </c>
      <c r="W6" s="2" t="n">
        <v>0.0016</v>
      </c>
      <c r="X6" s="2" t="n">
        <v>0.0897</v>
      </c>
      <c r="Y6" s="2" t="n">
        <v>0.1159</v>
      </c>
      <c r="Z6" s="2" t="n">
        <v>0.0579</v>
      </c>
      <c r="AA6" s="2" t="n">
        <v>0.0055</v>
      </c>
      <c r="AB6" s="2" t="n">
        <v>0.0023</v>
      </c>
      <c r="AC6" s="2" t="n">
        <v>47.8655282817503</v>
      </c>
      <c r="AD6" s="2" t="n">
        <v>0.666858457997698</v>
      </c>
      <c r="AE6" s="2" t="n">
        <v>0.249130362762962</v>
      </c>
      <c r="AF6" s="2" t="n">
        <v>0.77061170212766</v>
      </c>
      <c r="AG6" s="2" t="n">
        <v>0.20548089</v>
      </c>
      <c r="AH6" s="2" t="n">
        <v>0.01169514</v>
      </c>
      <c r="AI6" s="3" t="b">
        <f aca="false">TRUE()</f>
        <v>1</v>
      </c>
      <c r="AJ6" s="2" t="n">
        <v>0.947</v>
      </c>
      <c r="AK6" s="2" t="s">
        <v>57</v>
      </c>
      <c r="AL6" s="2" t="n">
        <v>1208</v>
      </c>
      <c r="AM6" s="2" t="n">
        <v>2.07</v>
      </c>
      <c r="AN6" s="2" t="n">
        <v>7.14808053</v>
      </c>
      <c r="AO6" s="2" t="n">
        <v>500</v>
      </c>
      <c r="AP6" s="2" t="n">
        <v>1.8927</v>
      </c>
      <c r="AQ6" s="2" t="n">
        <v>0.214467953331056</v>
      </c>
      <c r="AR6" s="2" t="n">
        <v>1.49475</v>
      </c>
      <c r="AS6" s="2" t="n">
        <v>1.88</v>
      </c>
      <c r="AT6" s="2" t="n">
        <v>2.3205</v>
      </c>
      <c r="AU6" s="2" t="n">
        <v>1229.57</v>
      </c>
      <c r="AV6" s="2" t="n">
        <v>3.4305447489501</v>
      </c>
      <c r="AW6" s="2" t="n">
        <v>1223</v>
      </c>
      <c r="AX6" s="2" t="n">
        <v>1230</v>
      </c>
      <c r="AY6" s="2" t="n">
        <v>1236</v>
      </c>
      <c r="AZ6" s="2" t="n">
        <v>1.35000342285625</v>
      </c>
      <c r="BA6" s="2" t="n">
        <v>1.542874530425</v>
      </c>
    </row>
    <row r="7" customFormat="false" ht="15" hidden="false" customHeight="false" outlineLevel="0" collapsed="false">
      <c r="A7" s="2" t="s">
        <v>66</v>
      </c>
      <c r="B7" s="2" t="n">
        <v>2009</v>
      </c>
      <c r="C7" s="2" t="s">
        <v>54</v>
      </c>
      <c r="D7" s="2" t="s">
        <v>55</v>
      </c>
      <c r="E7" s="2" t="n">
        <v>22</v>
      </c>
      <c r="F7" s="2" t="s">
        <v>67</v>
      </c>
      <c r="G7" s="2" t="n">
        <v>48.61</v>
      </c>
      <c r="H7" s="2" t="n">
        <v>3.56</v>
      </c>
      <c r="I7" s="2" t="n">
        <v>13.74</v>
      </c>
      <c r="J7" s="2" t="n">
        <v>12.23</v>
      </c>
      <c r="K7" s="2" t="n">
        <v>0.21</v>
      </c>
      <c r="L7" s="2" t="n">
        <v>6.48</v>
      </c>
      <c r="M7" s="2" t="n">
        <v>11.44</v>
      </c>
      <c r="N7" s="2" t="n">
        <v>2.99</v>
      </c>
      <c r="O7" s="2" t="n">
        <v>0.49</v>
      </c>
      <c r="P7" s="2" t="n">
        <v>0.25</v>
      </c>
      <c r="Q7" s="2" t="n">
        <v>0</v>
      </c>
      <c r="R7" s="2" t="n">
        <v>98.33</v>
      </c>
      <c r="S7" s="2" t="n">
        <v>0.4567</v>
      </c>
      <c r="T7" s="2" t="n">
        <v>0.0252</v>
      </c>
      <c r="U7" s="2" t="n">
        <v>0.1521</v>
      </c>
      <c r="V7" s="2" t="n">
        <v>0.0961</v>
      </c>
      <c r="W7" s="2" t="n">
        <v>0.0017</v>
      </c>
      <c r="X7" s="2" t="n">
        <v>0.0907</v>
      </c>
      <c r="Y7" s="2" t="n">
        <v>0.1152</v>
      </c>
      <c r="Z7" s="2" t="n">
        <v>0.0545</v>
      </c>
      <c r="AA7" s="2" t="n">
        <v>0.0058</v>
      </c>
      <c r="AB7" s="2" t="n">
        <v>0.002</v>
      </c>
      <c r="AC7" s="2" t="n">
        <v>48.5546038543897</v>
      </c>
      <c r="AD7" s="2" t="n">
        <v>0.678845020624632</v>
      </c>
      <c r="AE7" s="2" t="n">
        <v>0.249835742444152</v>
      </c>
      <c r="AF7" s="2" t="n">
        <v>0.757396449704142</v>
      </c>
      <c r="AG7" s="2" t="n">
        <v>0.20857489</v>
      </c>
      <c r="AH7" s="2" t="n">
        <v>0.01150884</v>
      </c>
      <c r="AI7" s="3" t="b">
        <f aca="false">TRUE()</f>
        <v>1</v>
      </c>
      <c r="AJ7" s="2" t="n">
        <v>0.943</v>
      </c>
      <c r="AK7" s="2" t="s">
        <v>57</v>
      </c>
      <c r="AL7" s="2" t="n">
        <v>1204</v>
      </c>
      <c r="AM7" s="2" t="n">
        <v>2.26</v>
      </c>
      <c r="AN7" s="2" t="n">
        <v>7.79117372</v>
      </c>
      <c r="AO7" s="2" t="n">
        <v>500</v>
      </c>
      <c r="AP7" s="2" t="n">
        <v>2.11582</v>
      </c>
      <c r="AQ7" s="2" t="n">
        <v>0.209678462688543</v>
      </c>
      <c r="AR7" s="2" t="n">
        <v>1.69475</v>
      </c>
      <c r="AS7" s="2" t="n">
        <v>2.12</v>
      </c>
      <c r="AT7" s="2" t="n">
        <v>2.50525</v>
      </c>
      <c r="AU7" s="2" t="n">
        <v>1225.152</v>
      </c>
      <c r="AV7" s="2" t="n">
        <v>3.95983036417295</v>
      </c>
      <c r="AW7" s="2" t="n">
        <v>1217.475</v>
      </c>
      <c r="AX7" s="2" t="n">
        <v>1225</v>
      </c>
      <c r="AY7" s="2" t="n">
        <v>1233.525</v>
      </c>
      <c r="AZ7" s="2" t="n">
        <v>1.48965709685625</v>
      </c>
      <c r="BA7" s="2" t="n">
        <v>1.35000342285625</v>
      </c>
    </row>
    <row r="8" customFormat="false" ht="15" hidden="false" customHeight="false" outlineLevel="0" collapsed="false">
      <c r="A8" s="2" t="s">
        <v>68</v>
      </c>
      <c r="B8" s="2" t="n">
        <v>2009</v>
      </c>
      <c r="C8" s="2" t="s">
        <v>54</v>
      </c>
      <c r="D8" s="2" t="s">
        <v>55</v>
      </c>
      <c r="E8" s="2" t="n">
        <v>23</v>
      </c>
      <c r="F8" s="2" t="s">
        <v>69</v>
      </c>
      <c r="G8" s="2" t="n">
        <v>48.9</v>
      </c>
      <c r="H8" s="2" t="n">
        <v>3.55</v>
      </c>
      <c r="I8" s="2" t="n">
        <v>13.68</v>
      </c>
      <c r="J8" s="2" t="n">
        <v>11.89</v>
      </c>
      <c r="K8" s="2" t="n">
        <v>0.18</v>
      </c>
      <c r="L8" s="2" t="n">
        <v>6.48</v>
      </c>
      <c r="M8" s="2" t="n">
        <v>11.49</v>
      </c>
      <c r="N8" s="2" t="n">
        <v>3.04</v>
      </c>
      <c r="O8" s="2" t="n">
        <v>0.46</v>
      </c>
      <c r="P8" s="2" t="n">
        <v>0.34</v>
      </c>
      <c r="Q8" s="2" t="n">
        <v>0.02</v>
      </c>
      <c r="R8" s="2" t="n">
        <v>98.46</v>
      </c>
      <c r="S8" s="2" t="n">
        <v>0.4591</v>
      </c>
      <c r="T8" s="2" t="n">
        <v>0.025</v>
      </c>
      <c r="U8" s="2" t="n">
        <v>0.1514</v>
      </c>
      <c r="V8" s="2" t="n">
        <v>0.0933</v>
      </c>
      <c r="W8" s="2" t="n">
        <v>0.0015</v>
      </c>
      <c r="X8" s="2" t="n">
        <v>0.0907</v>
      </c>
      <c r="Y8" s="2" t="n">
        <v>0.1156</v>
      </c>
      <c r="Z8" s="2" t="n">
        <v>0.0553</v>
      </c>
      <c r="AA8" s="2" t="n">
        <v>0.0055</v>
      </c>
      <c r="AB8" s="2" t="n">
        <v>0.0027</v>
      </c>
      <c r="AC8" s="2" t="n">
        <v>49.2934782608696</v>
      </c>
      <c r="AD8" s="2" t="n">
        <v>0.676418958455237</v>
      </c>
      <c r="AE8" s="2" t="n">
        <v>0.247993447993448</v>
      </c>
      <c r="AF8" s="2" t="n">
        <v>0.763540290620872</v>
      </c>
      <c r="AG8" s="2" t="n">
        <v>0.21077281</v>
      </c>
      <c r="AH8" s="2" t="n">
        <v>0.0114775</v>
      </c>
      <c r="AI8" s="3" t="b">
        <f aca="false">TRUE()</f>
        <v>1</v>
      </c>
      <c r="AJ8" s="2" t="n">
        <v>0.945</v>
      </c>
      <c r="AK8" s="2" t="s">
        <v>57</v>
      </c>
      <c r="AL8" s="2" t="n">
        <v>1203</v>
      </c>
      <c r="AM8" s="2" t="n">
        <v>1.92</v>
      </c>
      <c r="AN8" s="2" t="n">
        <v>6.63883008</v>
      </c>
      <c r="AO8" s="2" t="n">
        <v>500</v>
      </c>
      <c r="AP8" s="2" t="n">
        <v>1.7298</v>
      </c>
      <c r="AQ8" s="2" t="n">
        <v>0.207270553056455</v>
      </c>
      <c r="AR8" s="2" t="n">
        <v>1.32</v>
      </c>
      <c r="AS8" s="2" t="n">
        <v>1.73</v>
      </c>
      <c r="AT8" s="2" t="n">
        <v>2.12</v>
      </c>
      <c r="AU8" s="2" t="n">
        <v>1225.82</v>
      </c>
      <c r="AV8" s="2" t="n">
        <v>3.72818974806744</v>
      </c>
      <c r="AW8" s="2" t="n">
        <v>1219</v>
      </c>
      <c r="AX8" s="2" t="n">
        <v>1226</v>
      </c>
      <c r="AY8" s="2" t="n">
        <v>1233.525</v>
      </c>
      <c r="AZ8" s="2" t="n">
        <v>1.43642557</v>
      </c>
      <c r="BA8" s="2" t="n">
        <v>1.36659237</v>
      </c>
    </row>
    <row r="9" customFormat="false" ht="15" hidden="false" customHeight="false" outlineLevel="0" collapsed="false">
      <c r="A9" s="2" t="s">
        <v>70</v>
      </c>
      <c r="B9" s="2" t="n">
        <v>2009</v>
      </c>
      <c r="C9" s="2" t="s">
        <v>54</v>
      </c>
      <c r="D9" s="2" t="s">
        <v>55</v>
      </c>
      <c r="E9" s="2" t="n">
        <v>24</v>
      </c>
      <c r="F9" s="2" t="s">
        <v>71</v>
      </c>
      <c r="G9" s="2" t="n">
        <v>48.41</v>
      </c>
      <c r="H9" s="2" t="n">
        <v>3.56</v>
      </c>
      <c r="I9" s="2" t="n">
        <v>13.83</v>
      </c>
      <c r="J9" s="2" t="n">
        <v>12.08</v>
      </c>
      <c r="K9" s="2" t="n">
        <v>0.22</v>
      </c>
      <c r="L9" s="2" t="n">
        <v>6.51</v>
      </c>
      <c r="M9" s="2" t="n">
        <v>11.63</v>
      </c>
      <c r="N9" s="2" t="n">
        <v>2.92</v>
      </c>
      <c r="O9" s="2" t="n">
        <v>0.5</v>
      </c>
      <c r="P9" s="2" t="n">
        <v>0.33</v>
      </c>
      <c r="Q9" s="2" t="n">
        <v>0.04</v>
      </c>
      <c r="R9" s="2" t="n">
        <v>98.63</v>
      </c>
      <c r="S9" s="2" t="n">
        <v>0.4548</v>
      </c>
      <c r="T9" s="2" t="n">
        <v>0.0252</v>
      </c>
      <c r="U9" s="2" t="n">
        <v>0.1532</v>
      </c>
      <c r="V9" s="2" t="n">
        <v>0.0949</v>
      </c>
      <c r="W9" s="2" t="n">
        <v>0.0018</v>
      </c>
      <c r="X9" s="2" t="n">
        <v>0.0912</v>
      </c>
      <c r="Y9" s="2" t="n">
        <v>0.1171</v>
      </c>
      <c r="Z9" s="2" t="n">
        <v>0.0532</v>
      </c>
      <c r="AA9" s="2" t="n">
        <v>0.006</v>
      </c>
      <c r="AB9" s="2" t="n">
        <v>0.0027</v>
      </c>
      <c r="AC9" s="2" t="n">
        <v>49.0059108006448</v>
      </c>
      <c r="AD9" s="2" t="n">
        <v>0.68761009982384</v>
      </c>
      <c r="AE9" s="2" t="n">
        <v>0.251973684210526</v>
      </c>
      <c r="AF9" s="2" t="n">
        <v>0.764360313315927</v>
      </c>
      <c r="AG9" s="2" t="n">
        <v>0.20684304</v>
      </c>
      <c r="AH9" s="2" t="n">
        <v>0.01146096</v>
      </c>
      <c r="AI9" s="3" t="b">
        <f aca="false">TRUE()</f>
        <v>1</v>
      </c>
      <c r="AJ9" s="2" t="n">
        <v>0.941</v>
      </c>
      <c r="AK9" s="2" t="s">
        <v>57</v>
      </c>
      <c r="AL9" s="2" t="n">
        <v>1203</v>
      </c>
      <c r="AM9" s="2" t="n">
        <v>2.21</v>
      </c>
      <c r="AN9" s="2" t="n">
        <v>7.62215077</v>
      </c>
      <c r="AO9" s="2" t="n">
        <v>500</v>
      </c>
      <c r="AP9" s="2" t="n">
        <v>1.98964</v>
      </c>
      <c r="AQ9" s="2" t="n">
        <v>0.2269715898636</v>
      </c>
      <c r="AR9" s="2" t="n">
        <v>1.52475</v>
      </c>
      <c r="AS9" s="2" t="n">
        <v>2.01</v>
      </c>
      <c r="AT9" s="2" t="n">
        <v>2.42</v>
      </c>
      <c r="AU9" s="2" t="n">
        <v>1227.278</v>
      </c>
      <c r="AV9" s="2" t="n">
        <v>3.69865869637962</v>
      </c>
      <c r="AW9" s="2" t="n">
        <v>1220</v>
      </c>
      <c r="AX9" s="2" t="n">
        <v>1227</v>
      </c>
      <c r="AY9" s="2" t="n">
        <v>1234</v>
      </c>
      <c r="AZ9" s="2" t="n">
        <v>1.69895580785625</v>
      </c>
      <c r="BA9" s="2" t="n">
        <v>1.43642557</v>
      </c>
    </row>
    <row r="10" customFormat="false" ht="15" hidden="false" customHeight="false" outlineLevel="0" collapsed="false">
      <c r="A10" s="2" t="s">
        <v>72</v>
      </c>
      <c r="B10" s="2" t="n">
        <v>2009</v>
      </c>
      <c r="C10" s="2" t="s">
        <v>54</v>
      </c>
      <c r="D10" s="2" t="s">
        <v>55</v>
      </c>
      <c r="E10" s="2" t="n">
        <v>25</v>
      </c>
      <c r="F10" s="2" t="s">
        <v>73</v>
      </c>
      <c r="G10" s="2" t="n">
        <v>48.86</v>
      </c>
      <c r="H10" s="2" t="n">
        <v>3.37</v>
      </c>
      <c r="I10" s="2" t="n">
        <v>13.74</v>
      </c>
      <c r="J10" s="2" t="n">
        <v>11.77</v>
      </c>
      <c r="K10" s="2" t="n">
        <v>0.16</v>
      </c>
      <c r="L10" s="2" t="n">
        <v>6.66</v>
      </c>
      <c r="M10" s="2" t="n">
        <v>11.69</v>
      </c>
      <c r="N10" s="2" t="n">
        <v>2.97</v>
      </c>
      <c r="O10" s="2" t="n">
        <v>0.41</v>
      </c>
      <c r="P10" s="2" t="n">
        <v>0.37</v>
      </c>
      <c r="Q10" s="2" t="n">
        <v>0.02</v>
      </c>
      <c r="R10" s="2" t="n">
        <v>98.29</v>
      </c>
      <c r="S10" s="2" t="n">
        <v>0.4583</v>
      </c>
      <c r="T10" s="2" t="n">
        <v>0.0238</v>
      </c>
      <c r="U10" s="2" t="n">
        <v>0.1519</v>
      </c>
      <c r="V10" s="2" t="n">
        <v>0.0924</v>
      </c>
      <c r="W10" s="2" t="n">
        <v>0.0013</v>
      </c>
      <c r="X10" s="2" t="n">
        <v>0.0931</v>
      </c>
      <c r="Y10" s="2" t="n">
        <v>0.1175</v>
      </c>
      <c r="Z10" s="2" t="n">
        <v>0.054</v>
      </c>
      <c r="AA10" s="2" t="n">
        <v>0.0049</v>
      </c>
      <c r="AB10" s="2" t="n">
        <v>0.0029</v>
      </c>
      <c r="AC10" s="2" t="n">
        <v>50.188679245283</v>
      </c>
      <c r="AD10" s="2" t="n">
        <v>0.685131195335277</v>
      </c>
      <c r="AE10" s="2" t="n">
        <v>0.248934775483448</v>
      </c>
      <c r="AF10" s="2" t="n">
        <v>0.773535220539829</v>
      </c>
      <c r="AG10" s="2" t="n">
        <v>0.21003889</v>
      </c>
      <c r="AH10" s="2" t="n">
        <v>0.01090754</v>
      </c>
      <c r="AI10" s="3" t="b">
        <f aca="false">TRUE()</f>
        <v>1</v>
      </c>
      <c r="AJ10" s="2" t="n">
        <v>0.947</v>
      </c>
      <c r="AK10" s="2" t="s">
        <v>57</v>
      </c>
      <c r="AL10" s="2" t="n">
        <v>1206</v>
      </c>
      <c r="AM10" s="2" t="n">
        <v>1.96</v>
      </c>
      <c r="AN10" s="2" t="n">
        <v>6.77476352</v>
      </c>
      <c r="AO10" s="2" t="n">
        <v>500</v>
      </c>
      <c r="AP10" s="2" t="n">
        <v>1.7309</v>
      </c>
      <c r="AQ10" s="2" t="n">
        <v>0.212535485661408</v>
      </c>
      <c r="AR10" s="2" t="n">
        <v>1.3195</v>
      </c>
      <c r="AS10" s="2" t="n">
        <v>1.73</v>
      </c>
      <c r="AT10" s="2" t="n">
        <v>2.13525</v>
      </c>
      <c r="AU10" s="2" t="n">
        <v>1229.03</v>
      </c>
      <c r="AV10" s="2" t="n">
        <v>3.70412487399714</v>
      </c>
      <c r="AW10" s="2" t="n">
        <v>1222</v>
      </c>
      <c r="AX10" s="2" t="n">
        <v>1229</v>
      </c>
      <c r="AY10" s="2" t="n">
        <v>1236</v>
      </c>
      <c r="AZ10" s="2" t="n">
        <v>1.438171089425</v>
      </c>
      <c r="BA10" s="2" t="n">
        <v>1.41984237985625</v>
      </c>
    </row>
    <row r="11" customFormat="false" ht="15" hidden="false" customHeight="false" outlineLevel="0" collapsed="false">
      <c r="A11" s="2" t="s">
        <v>74</v>
      </c>
      <c r="B11" s="2" t="n">
        <v>2009</v>
      </c>
      <c r="C11" s="2" t="s">
        <v>54</v>
      </c>
      <c r="D11" s="2" t="s">
        <v>55</v>
      </c>
      <c r="E11" s="2" t="n">
        <v>26</v>
      </c>
      <c r="F11" s="2" t="s">
        <v>75</v>
      </c>
      <c r="G11" s="2" t="n">
        <v>48.68</v>
      </c>
      <c r="H11" s="2" t="n">
        <v>3.42</v>
      </c>
      <c r="I11" s="2" t="n">
        <v>14.01</v>
      </c>
      <c r="J11" s="2" t="n">
        <v>11.89</v>
      </c>
      <c r="K11" s="2" t="n">
        <v>0.16</v>
      </c>
      <c r="L11" s="2" t="n">
        <v>6.61</v>
      </c>
      <c r="M11" s="2" t="n">
        <v>11.61</v>
      </c>
      <c r="N11" s="2" t="n">
        <v>2.89</v>
      </c>
      <c r="O11" s="2" t="n">
        <v>0.47</v>
      </c>
      <c r="P11" s="2" t="n">
        <v>0.25</v>
      </c>
      <c r="Q11" s="2" t="n">
        <v>0.01</v>
      </c>
      <c r="R11" s="2" t="n">
        <v>98.63</v>
      </c>
      <c r="S11" s="2" t="n">
        <v>0.4569</v>
      </c>
      <c r="T11" s="2" t="n">
        <v>0.0241</v>
      </c>
      <c r="U11" s="2" t="n">
        <v>0.155</v>
      </c>
      <c r="V11" s="2" t="n">
        <v>0.0933</v>
      </c>
      <c r="W11" s="2" t="n">
        <v>0.0013</v>
      </c>
      <c r="X11" s="2" t="n">
        <v>0.0925</v>
      </c>
      <c r="Y11" s="2" t="n">
        <v>0.1167</v>
      </c>
      <c r="Z11" s="2" t="n">
        <v>0.0526</v>
      </c>
      <c r="AA11" s="2" t="n">
        <v>0.0056</v>
      </c>
      <c r="AB11" s="2" t="n">
        <v>0.002</v>
      </c>
      <c r="AC11" s="2" t="n">
        <v>49.7847147470398</v>
      </c>
      <c r="AD11" s="2" t="n">
        <v>0.689308919078559</v>
      </c>
      <c r="AE11" s="2" t="n">
        <v>0.253309364275208</v>
      </c>
      <c r="AF11" s="2" t="n">
        <v>0.752903225806452</v>
      </c>
      <c r="AG11" s="2" t="n">
        <v>0.20875761</v>
      </c>
      <c r="AH11" s="2" t="n">
        <v>0.01101129</v>
      </c>
      <c r="AI11" s="3" t="b">
        <f aca="false">TRUE()</f>
        <v>1</v>
      </c>
      <c r="AJ11" s="2" t="n">
        <v>0.943</v>
      </c>
      <c r="AK11" s="2" t="s">
        <v>57</v>
      </c>
      <c r="AL11" s="2" t="n">
        <v>1204</v>
      </c>
      <c r="AM11" s="2" t="n">
        <v>2.34</v>
      </c>
      <c r="AN11" s="2" t="n">
        <v>8.06129532</v>
      </c>
      <c r="AO11" s="2" t="n">
        <v>500</v>
      </c>
      <c r="AP11" s="2" t="n">
        <v>2.18532</v>
      </c>
      <c r="AQ11" s="2" t="n">
        <v>0.225241125750736</v>
      </c>
      <c r="AR11" s="2" t="n">
        <v>1.76</v>
      </c>
      <c r="AS11" s="2" t="n">
        <v>2.18</v>
      </c>
      <c r="AT11" s="2" t="n">
        <v>2.63</v>
      </c>
      <c r="AU11" s="2" t="n">
        <v>1222.82</v>
      </c>
      <c r="AV11" s="2" t="n">
        <v>3.60855141110296</v>
      </c>
      <c r="AW11" s="2" t="n">
        <v>1216</v>
      </c>
      <c r="AX11" s="2" t="n">
        <v>1223</v>
      </c>
      <c r="AY11" s="2" t="n">
        <v>1230</v>
      </c>
      <c r="AZ11" s="2" t="n">
        <v>1.47133308</v>
      </c>
      <c r="BA11" s="2" t="n">
        <v>1.57601925</v>
      </c>
    </row>
    <row r="12" customFormat="false" ht="15" hidden="false" customHeight="false" outlineLevel="0" collapsed="false">
      <c r="A12" s="2" t="s">
        <v>76</v>
      </c>
      <c r="B12" s="2" t="n">
        <v>2009</v>
      </c>
      <c r="C12" s="2" t="s">
        <v>54</v>
      </c>
      <c r="D12" s="2" t="s">
        <v>55</v>
      </c>
      <c r="E12" s="2" t="n">
        <v>27</v>
      </c>
      <c r="F12" s="2" t="s">
        <v>77</v>
      </c>
      <c r="G12" s="2" t="n">
        <v>48.44</v>
      </c>
      <c r="H12" s="2" t="n">
        <v>3.41</v>
      </c>
      <c r="I12" s="2" t="n">
        <v>14.01</v>
      </c>
      <c r="J12" s="2" t="n">
        <v>12.04</v>
      </c>
      <c r="K12" s="2" t="n">
        <v>0.23</v>
      </c>
      <c r="L12" s="2" t="n">
        <v>6.62</v>
      </c>
      <c r="M12" s="2" t="n">
        <v>11.57</v>
      </c>
      <c r="N12" s="2" t="n">
        <v>2.96</v>
      </c>
      <c r="O12" s="2" t="n">
        <v>0.45</v>
      </c>
      <c r="P12" s="2" t="n">
        <v>0.26</v>
      </c>
      <c r="Q12" s="2" t="n">
        <v>0.01</v>
      </c>
      <c r="R12" s="2" t="n">
        <v>98.35</v>
      </c>
      <c r="S12" s="2" t="n">
        <v>0.4545</v>
      </c>
      <c r="T12" s="2" t="n">
        <v>0.024</v>
      </c>
      <c r="U12" s="2" t="n">
        <v>0.1549</v>
      </c>
      <c r="V12" s="2" t="n">
        <v>0.0945</v>
      </c>
      <c r="W12" s="2" t="n">
        <v>0.0019</v>
      </c>
      <c r="X12" s="2" t="n">
        <v>0.0926</v>
      </c>
      <c r="Y12" s="2" t="n">
        <v>0.1163</v>
      </c>
      <c r="Z12" s="2" t="n">
        <v>0.0538</v>
      </c>
      <c r="AA12" s="2" t="n">
        <v>0.0054</v>
      </c>
      <c r="AB12" s="2" t="n">
        <v>0.0021</v>
      </c>
      <c r="AC12" s="2" t="n">
        <v>49.4922501336184</v>
      </c>
      <c r="AD12" s="2" t="n">
        <v>0.683715461493239</v>
      </c>
      <c r="AE12" s="2" t="n">
        <v>0.25418444371513</v>
      </c>
      <c r="AF12" s="2" t="n">
        <v>0.750806972240155</v>
      </c>
      <c r="AG12" s="2" t="n">
        <v>0.20657025</v>
      </c>
      <c r="AH12" s="2" t="n">
        <v>0.010908</v>
      </c>
      <c r="AI12" s="3" t="b">
        <f aca="false">TRUE()</f>
        <v>1</v>
      </c>
      <c r="AJ12" s="2" t="n">
        <v>0.945</v>
      </c>
      <c r="AK12" s="2" t="s">
        <v>57</v>
      </c>
      <c r="AL12" s="2" t="n">
        <v>1201</v>
      </c>
      <c r="AM12" s="2" t="n">
        <v>2.57</v>
      </c>
      <c r="AN12" s="2" t="n">
        <v>8.83573453</v>
      </c>
      <c r="AO12" s="2" t="n">
        <v>500</v>
      </c>
      <c r="AP12" s="2" t="n">
        <v>2.35216</v>
      </c>
      <c r="AQ12" s="2" t="n">
        <v>0.203510607917794</v>
      </c>
      <c r="AR12" s="2" t="n">
        <v>1.94</v>
      </c>
      <c r="AS12" s="2" t="n">
        <v>2.35</v>
      </c>
      <c r="AT12" s="2" t="n">
        <v>2.74</v>
      </c>
      <c r="AU12" s="2" t="n">
        <v>1223.408</v>
      </c>
      <c r="AV12" s="2" t="n">
        <v>3.56355635113793</v>
      </c>
      <c r="AW12" s="2" t="n">
        <v>1217</v>
      </c>
      <c r="AX12" s="2" t="n">
        <v>1223.5</v>
      </c>
      <c r="AY12" s="2" t="n">
        <v>1230</v>
      </c>
      <c r="AZ12" s="2" t="n">
        <v>1.43642557</v>
      </c>
      <c r="BA12" s="2" t="n">
        <v>1.36659237</v>
      </c>
    </row>
    <row r="13" customFormat="false" ht="15" hidden="false" customHeight="false" outlineLevel="0" collapsed="false">
      <c r="A13" s="2" t="s">
        <v>78</v>
      </c>
      <c r="B13" s="2" t="n">
        <v>2009</v>
      </c>
      <c r="C13" s="2" t="s">
        <v>54</v>
      </c>
      <c r="D13" s="2" t="s">
        <v>55</v>
      </c>
      <c r="E13" s="2" t="n">
        <v>28</v>
      </c>
      <c r="F13" s="2" t="s">
        <v>79</v>
      </c>
      <c r="G13" s="2" t="n">
        <v>48.37</v>
      </c>
      <c r="H13" s="2" t="n">
        <v>3.51</v>
      </c>
      <c r="I13" s="2" t="n">
        <v>13.86</v>
      </c>
      <c r="J13" s="2" t="n">
        <v>12.13</v>
      </c>
      <c r="K13" s="2" t="n">
        <v>0.2</v>
      </c>
      <c r="L13" s="2" t="n">
        <v>6.48</v>
      </c>
      <c r="M13" s="2" t="n">
        <v>11.68</v>
      </c>
      <c r="N13" s="2" t="n">
        <v>3.09</v>
      </c>
      <c r="O13" s="2" t="n">
        <v>0.43</v>
      </c>
      <c r="P13" s="2" t="n">
        <v>0.25</v>
      </c>
      <c r="Q13" s="2" t="n">
        <v>0.02</v>
      </c>
      <c r="R13" s="2" t="n">
        <v>98.6</v>
      </c>
      <c r="S13" s="2" t="n">
        <v>0.4538</v>
      </c>
      <c r="T13" s="2" t="n">
        <v>0.0248</v>
      </c>
      <c r="U13" s="2" t="n">
        <v>0.1532</v>
      </c>
      <c r="V13" s="2" t="n">
        <v>0.0952</v>
      </c>
      <c r="W13" s="2" t="n">
        <v>0.0016</v>
      </c>
      <c r="X13" s="2" t="n">
        <v>0.0907</v>
      </c>
      <c r="Y13" s="2" t="n">
        <v>0.1174</v>
      </c>
      <c r="Z13" s="2" t="n">
        <v>0.0563</v>
      </c>
      <c r="AA13" s="2" t="n">
        <v>0.0051</v>
      </c>
      <c r="AB13" s="2" t="n">
        <v>0.002</v>
      </c>
      <c r="AC13" s="2" t="n">
        <v>48.7896718665949</v>
      </c>
      <c r="AD13" s="2" t="n">
        <v>0.675877950489349</v>
      </c>
      <c r="AE13" s="2" t="n">
        <v>0.252388797364086</v>
      </c>
      <c r="AF13" s="2" t="n">
        <v>0.766318537859008</v>
      </c>
      <c r="AG13" s="2" t="n">
        <v>0.20593444</v>
      </c>
      <c r="AH13" s="2" t="n">
        <v>0.01125424</v>
      </c>
      <c r="AI13" s="3" t="b">
        <f aca="false">TRUE()</f>
        <v>1</v>
      </c>
      <c r="AJ13" s="2" t="n">
        <v>0.948</v>
      </c>
      <c r="AK13" s="2" t="s">
        <v>57</v>
      </c>
      <c r="AL13" s="2" t="n">
        <v>1205</v>
      </c>
      <c r="AM13" s="2" t="n">
        <v>2.03</v>
      </c>
      <c r="AN13" s="2" t="n">
        <v>7.01241373</v>
      </c>
      <c r="AO13" s="2" t="n">
        <v>500</v>
      </c>
      <c r="AP13" s="2" t="n">
        <v>1.86454</v>
      </c>
      <c r="AQ13" s="2" t="n">
        <v>0.210988674676352</v>
      </c>
      <c r="AR13" s="2" t="n">
        <v>1.48</v>
      </c>
      <c r="AS13" s="2" t="n">
        <v>1.86</v>
      </c>
      <c r="AT13" s="2" t="n">
        <v>2.29525</v>
      </c>
      <c r="AU13" s="2" t="n">
        <v>1224.568</v>
      </c>
      <c r="AV13" s="2" t="n">
        <v>3.65514653500852</v>
      </c>
      <c r="AW13" s="2" t="n">
        <v>1217</v>
      </c>
      <c r="AX13" s="2" t="n">
        <v>1225</v>
      </c>
      <c r="AY13" s="2" t="n">
        <v>1232</v>
      </c>
      <c r="AZ13" s="2" t="n">
        <v>1.33166668</v>
      </c>
      <c r="BA13" s="2" t="n">
        <v>1.52455536535625</v>
      </c>
    </row>
    <row r="14" customFormat="false" ht="15" hidden="false" customHeight="false" outlineLevel="0" collapsed="false">
      <c r="A14" s="2" t="s">
        <v>80</v>
      </c>
      <c r="B14" s="2" t="n">
        <v>2009</v>
      </c>
      <c r="C14" s="2" t="s">
        <v>54</v>
      </c>
      <c r="D14" s="2" t="s">
        <v>55</v>
      </c>
      <c r="E14" s="2" t="n">
        <v>30</v>
      </c>
      <c r="F14" s="2" t="s">
        <v>81</v>
      </c>
      <c r="G14" s="2" t="n">
        <v>48.79</v>
      </c>
      <c r="H14" s="2" t="n">
        <v>3.65</v>
      </c>
      <c r="I14" s="2" t="n">
        <v>13.63</v>
      </c>
      <c r="J14" s="2" t="n">
        <v>12.31</v>
      </c>
      <c r="K14" s="2" t="n">
        <v>0.19</v>
      </c>
      <c r="L14" s="2" t="n">
        <v>6.29</v>
      </c>
      <c r="M14" s="2" t="n">
        <v>11.39</v>
      </c>
      <c r="N14" s="2" t="n">
        <v>2.96</v>
      </c>
      <c r="O14" s="2" t="n">
        <v>0.5</v>
      </c>
      <c r="P14" s="2" t="n">
        <v>0.29</v>
      </c>
      <c r="Q14" s="2" t="n">
        <v>0.02</v>
      </c>
      <c r="R14" s="2" t="n">
        <v>98.14</v>
      </c>
      <c r="S14" s="2" t="n">
        <v>0.4592</v>
      </c>
      <c r="T14" s="2" t="n">
        <v>0.0258</v>
      </c>
      <c r="U14" s="2" t="n">
        <v>0.1512</v>
      </c>
      <c r="V14" s="2" t="n">
        <v>0.0969</v>
      </c>
      <c r="W14" s="2" t="n">
        <v>0.0015</v>
      </c>
      <c r="X14" s="2" t="n">
        <v>0.0882</v>
      </c>
      <c r="Y14" s="2" t="n">
        <v>0.1149</v>
      </c>
      <c r="Z14" s="2" t="n">
        <v>0.0539</v>
      </c>
      <c r="AA14" s="2" t="n">
        <v>0.006</v>
      </c>
      <c r="AB14" s="2" t="n">
        <v>0.0023</v>
      </c>
      <c r="AC14" s="2" t="n">
        <v>47.6499189627229</v>
      </c>
      <c r="AD14" s="2" t="n">
        <v>0.680687203791469</v>
      </c>
      <c r="AE14" s="2" t="n">
        <v>0.247706422018349</v>
      </c>
      <c r="AF14" s="2" t="n">
        <v>0.759920634920635</v>
      </c>
      <c r="AG14" s="2" t="n">
        <v>0.21086464</v>
      </c>
      <c r="AH14" s="2" t="n">
        <v>0.01184736</v>
      </c>
      <c r="AI14" s="3" t="b">
        <f aca="false">TRUE()</f>
        <v>1</v>
      </c>
      <c r="AJ14" s="2" t="n">
        <v>0.944</v>
      </c>
      <c r="AK14" s="2" t="s">
        <v>57</v>
      </c>
      <c r="AL14" s="2" t="n">
        <v>1198</v>
      </c>
      <c r="AM14" s="2" t="n">
        <v>1.84</v>
      </c>
      <c r="AN14" s="2" t="n">
        <v>6.36667232</v>
      </c>
      <c r="AO14" s="2" t="n">
        <v>500</v>
      </c>
      <c r="AP14" s="2" t="n">
        <v>1.66234</v>
      </c>
      <c r="AQ14" s="2" t="n">
        <v>0.213698991382355</v>
      </c>
      <c r="AR14" s="2" t="n">
        <v>1.2495</v>
      </c>
      <c r="AS14" s="2" t="n">
        <v>1.67</v>
      </c>
      <c r="AT14" s="2" t="n">
        <v>2.08</v>
      </c>
      <c r="AU14" s="2" t="n">
        <v>1220.106</v>
      </c>
      <c r="AV14" s="2" t="n">
        <v>3.72108276094844</v>
      </c>
      <c r="AW14" s="2" t="n">
        <v>1213</v>
      </c>
      <c r="AX14" s="2" t="n">
        <v>1220</v>
      </c>
      <c r="AY14" s="2" t="n">
        <v>1228</v>
      </c>
      <c r="AZ14" s="2" t="n">
        <v>1.473078296425</v>
      </c>
      <c r="BA14" s="2" t="n">
        <v>1.43642557</v>
      </c>
    </row>
    <row r="15" customFormat="false" ht="15" hidden="false" customHeight="false" outlineLevel="0" collapsed="false">
      <c r="A15" s="2" t="s">
        <v>82</v>
      </c>
      <c r="B15" s="2" t="n">
        <v>2009</v>
      </c>
      <c r="C15" s="2" t="s">
        <v>54</v>
      </c>
      <c r="D15" s="2" t="s">
        <v>55</v>
      </c>
      <c r="E15" s="2" t="n">
        <v>31</v>
      </c>
      <c r="F15" s="2" t="s">
        <v>83</v>
      </c>
      <c r="G15" s="2" t="n">
        <v>48.71</v>
      </c>
      <c r="H15" s="2" t="n">
        <v>3.51</v>
      </c>
      <c r="I15" s="2" t="n">
        <v>13.85</v>
      </c>
      <c r="J15" s="2" t="n">
        <v>11.89</v>
      </c>
      <c r="K15" s="2" t="n">
        <v>0.2</v>
      </c>
      <c r="L15" s="2" t="n">
        <v>6.66</v>
      </c>
      <c r="M15" s="2" t="n">
        <v>11.48</v>
      </c>
      <c r="N15" s="2" t="n">
        <v>2.98</v>
      </c>
      <c r="O15" s="2" t="n">
        <v>0.43</v>
      </c>
      <c r="P15" s="2" t="n">
        <v>0.27</v>
      </c>
      <c r="Q15" s="2" t="n">
        <v>0.02</v>
      </c>
      <c r="R15" s="2" t="n">
        <v>99.06</v>
      </c>
      <c r="S15" s="2" t="n">
        <v>0.457</v>
      </c>
      <c r="T15" s="2" t="n">
        <v>0.0248</v>
      </c>
      <c r="U15" s="2" t="n">
        <v>0.1532</v>
      </c>
      <c r="V15" s="2" t="n">
        <v>0.0933</v>
      </c>
      <c r="W15" s="2" t="n">
        <v>0.0016</v>
      </c>
      <c r="X15" s="2" t="n">
        <v>0.0932</v>
      </c>
      <c r="Y15" s="2" t="n">
        <v>0.1154</v>
      </c>
      <c r="Z15" s="2" t="n">
        <v>0.0542</v>
      </c>
      <c r="AA15" s="2" t="n">
        <v>0.0052</v>
      </c>
      <c r="AB15" s="2" t="n">
        <v>0.0022</v>
      </c>
      <c r="AC15" s="2" t="n">
        <v>49.9731903485255</v>
      </c>
      <c r="AD15" s="2" t="n">
        <v>0.680424528301887</v>
      </c>
      <c r="AE15" s="2" t="n">
        <v>0.251065224516552</v>
      </c>
      <c r="AF15" s="2" t="n">
        <v>0.753263707571802</v>
      </c>
      <c r="AG15" s="2" t="n">
        <v>0.208849</v>
      </c>
      <c r="AH15" s="2" t="n">
        <v>0.0113336</v>
      </c>
      <c r="AI15" s="3" t="b">
        <f aca="false">TRUE()</f>
        <v>1</v>
      </c>
      <c r="AJ15" s="2" t="n">
        <v>0.946</v>
      </c>
      <c r="AK15" s="2" t="s">
        <v>57</v>
      </c>
      <c r="AL15" s="2" t="n">
        <v>1207</v>
      </c>
      <c r="AM15" s="2" t="n">
        <v>2.52</v>
      </c>
      <c r="AN15" s="2" t="n">
        <v>8.66765088</v>
      </c>
      <c r="AO15" s="2" t="n">
        <v>500</v>
      </c>
      <c r="AP15" s="2" t="n">
        <v>2.34008</v>
      </c>
      <c r="AQ15" s="2" t="n">
        <v>0.2175275386247</v>
      </c>
      <c r="AR15" s="2" t="n">
        <v>1.91475</v>
      </c>
      <c r="AS15" s="2" t="n">
        <v>2.34</v>
      </c>
      <c r="AT15" s="2" t="n">
        <v>2.76525</v>
      </c>
      <c r="AU15" s="2" t="n">
        <v>1228.08</v>
      </c>
      <c r="AV15" s="2" t="n">
        <v>3.62931727571117</v>
      </c>
      <c r="AW15" s="2" t="n">
        <v>1221</v>
      </c>
      <c r="AX15" s="2" t="n">
        <v>1228</v>
      </c>
      <c r="AY15" s="2" t="n">
        <v>1235</v>
      </c>
      <c r="AZ15" s="2" t="n">
        <v>1.48965709685625</v>
      </c>
      <c r="BA15" s="2" t="n">
        <v>1.48965709685625</v>
      </c>
    </row>
    <row r="16" customFormat="false" ht="15" hidden="false" customHeight="false" outlineLevel="0" collapsed="false">
      <c r="A16" s="2" t="s">
        <v>84</v>
      </c>
      <c r="B16" s="2" t="n">
        <v>2009</v>
      </c>
      <c r="C16" s="2" t="s">
        <v>54</v>
      </c>
      <c r="D16" s="2" t="s">
        <v>55</v>
      </c>
      <c r="E16" s="2" t="n">
        <v>32</v>
      </c>
      <c r="F16" s="2" t="s">
        <v>85</v>
      </c>
      <c r="G16" s="2" t="n">
        <v>48.29</v>
      </c>
      <c r="H16" s="2" t="n">
        <v>3.69</v>
      </c>
      <c r="I16" s="2" t="n">
        <v>13.65</v>
      </c>
      <c r="J16" s="2" t="n">
        <v>12.67</v>
      </c>
      <c r="K16" s="2" t="n">
        <v>0.18</v>
      </c>
      <c r="L16" s="2" t="n">
        <v>6.25</v>
      </c>
      <c r="M16" s="2" t="n">
        <v>11.35</v>
      </c>
      <c r="N16" s="2" t="n">
        <v>3.11</v>
      </c>
      <c r="O16" s="2" t="n">
        <v>0.49</v>
      </c>
      <c r="P16" s="2" t="n">
        <v>0.33</v>
      </c>
      <c r="Q16" s="2" t="n">
        <v>0.01</v>
      </c>
      <c r="R16" s="2" t="n">
        <v>98.13</v>
      </c>
      <c r="S16" s="2" t="n">
        <v>0.4543</v>
      </c>
      <c r="T16" s="2" t="n">
        <v>0.0261</v>
      </c>
      <c r="U16" s="2" t="n">
        <v>0.1513</v>
      </c>
      <c r="V16" s="2" t="n">
        <v>0.0997</v>
      </c>
      <c r="W16" s="2" t="n">
        <v>0.0015</v>
      </c>
      <c r="X16" s="2" t="n">
        <v>0.0876</v>
      </c>
      <c r="Y16" s="2" t="n">
        <v>0.1144</v>
      </c>
      <c r="Z16" s="2" t="n">
        <v>0.0567</v>
      </c>
      <c r="AA16" s="2" t="n">
        <v>0.0059</v>
      </c>
      <c r="AB16" s="2" t="n">
        <v>0.0026</v>
      </c>
      <c r="AC16" s="2" t="n">
        <v>46.7698878804058</v>
      </c>
      <c r="AD16" s="2" t="n">
        <v>0.668614845119813</v>
      </c>
      <c r="AE16" s="2" t="n">
        <v>0.249834874504624</v>
      </c>
      <c r="AF16" s="2" t="n">
        <v>0.756113681427627</v>
      </c>
      <c r="AG16" s="2" t="n">
        <v>0.20638849</v>
      </c>
      <c r="AH16" s="2" t="n">
        <v>0.01185723</v>
      </c>
      <c r="AI16" s="3" t="b">
        <f aca="false">TRUE()</f>
        <v>1</v>
      </c>
      <c r="AJ16" s="2" t="n">
        <v>0.947</v>
      </c>
      <c r="AK16" s="2" t="s">
        <v>57</v>
      </c>
      <c r="AL16" s="2" t="n">
        <v>1198</v>
      </c>
      <c r="AM16" s="2" t="n">
        <v>2.14</v>
      </c>
      <c r="AN16" s="2" t="n">
        <v>7.38526412</v>
      </c>
      <c r="AO16" s="2" t="n">
        <v>500</v>
      </c>
      <c r="AP16" s="2" t="n">
        <v>1.94248</v>
      </c>
      <c r="AQ16" s="2" t="n">
        <v>0.216255827125031</v>
      </c>
      <c r="AR16" s="2" t="n">
        <v>1.53475</v>
      </c>
      <c r="AS16" s="2" t="n">
        <v>1.94</v>
      </c>
      <c r="AT16" s="2" t="n">
        <v>2.33525</v>
      </c>
      <c r="AU16" s="2" t="n">
        <v>1220.584</v>
      </c>
      <c r="AV16" s="2" t="n">
        <v>3.48413869484121</v>
      </c>
      <c r="AW16" s="2" t="n">
        <v>1214</v>
      </c>
      <c r="AX16" s="2" t="n">
        <v>1220.5</v>
      </c>
      <c r="AY16" s="2" t="n">
        <v>1227</v>
      </c>
      <c r="AZ16" s="2" t="n">
        <v>1.41984237985625</v>
      </c>
      <c r="BA16" s="2" t="n">
        <v>1.38492593135625</v>
      </c>
    </row>
    <row r="17" customFormat="false" ht="15" hidden="false" customHeight="false" outlineLevel="0" collapsed="false">
      <c r="A17" s="2" t="s">
        <v>86</v>
      </c>
      <c r="B17" s="2" t="n">
        <v>2009</v>
      </c>
      <c r="C17" s="2" t="s">
        <v>54</v>
      </c>
      <c r="D17" s="2" t="s">
        <v>55</v>
      </c>
      <c r="E17" s="2" t="n">
        <v>33</v>
      </c>
      <c r="F17" s="2" t="s">
        <v>87</v>
      </c>
      <c r="G17" s="2" t="n">
        <v>48.52</v>
      </c>
      <c r="H17" s="2" t="n">
        <v>3.55</v>
      </c>
      <c r="I17" s="2" t="n">
        <v>13.87</v>
      </c>
      <c r="J17" s="2" t="n">
        <v>11.9</v>
      </c>
      <c r="K17" s="2" t="n">
        <v>0.19</v>
      </c>
      <c r="L17" s="2" t="n">
        <v>6.61</v>
      </c>
      <c r="M17" s="2" t="n">
        <v>11.65</v>
      </c>
      <c r="N17" s="2" t="n">
        <v>2.99</v>
      </c>
      <c r="O17" s="2" t="n">
        <v>0.47</v>
      </c>
      <c r="P17" s="2" t="n">
        <v>0.25</v>
      </c>
      <c r="Q17" s="2" t="n">
        <v>0.03</v>
      </c>
      <c r="R17" s="2" t="n">
        <v>98.78</v>
      </c>
      <c r="S17" s="2" t="n">
        <v>0.4552</v>
      </c>
      <c r="T17" s="2" t="n">
        <v>0.0251</v>
      </c>
      <c r="U17" s="2" t="n">
        <v>0.1534</v>
      </c>
      <c r="V17" s="2" t="n">
        <v>0.0934</v>
      </c>
      <c r="W17" s="2" t="n">
        <v>0.0015</v>
      </c>
      <c r="X17" s="2" t="n">
        <v>0.0925</v>
      </c>
      <c r="Y17" s="2" t="n">
        <v>0.1171</v>
      </c>
      <c r="Z17" s="2" t="n">
        <v>0.0543</v>
      </c>
      <c r="AA17" s="2" t="n">
        <v>0.0056</v>
      </c>
      <c r="AB17" s="2" t="n">
        <v>0.002</v>
      </c>
      <c r="AC17" s="2" t="n">
        <v>49.757934373319</v>
      </c>
      <c r="AD17" s="2" t="n">
        <v>0.683197199533256</v>
      </c>
      <c r="AE17" s="2" t="n">
        <v>0.252053894183372</v>
      </c>
      <c r="AF17" s="2" t="n">
        <v>0.763363754889179</v>
      </c>
      <c r="AG17" s="2" t="n">
        <v>0.20720704</v>
      </c>
      <c r="AH17" s="2" t="n">
        <v>0.01142552</v>
      </c>
      <c r="AI17" s="3" t="b">
        <f aca="false">TRUE()</f>
        <v>1</v>
      </c>
      <c r="AJ17" s="2" t="n">
        <v>0.943</v>
      </c>
      <c r="AK17" s="2" t="s">
        <v>57</v>
      </c>
      <c r="AL17" s="2" t="n">
        <v>1211</v>
      </c>
      <c r="AM17" s="2" t="n">
        <v>2.27</v>
      </c>
      <c r="AN17" s="2" t="n">
        <v>7.82496013</v>
      </c>
      <c r="AO17" s="2" t="n">
        <v>500</v>
      </c>
      <c r="AP17" s="2" t="n">
        <v>2.10466</v>
      </c>
      <c r="AQ17" s="2" t="n">
        <v>0.216881903163541</v>
      </c>
      <c r="AR17" s="2" t="n">
        <v>1.67</v>
      </c>
      <c r="AS17" s="2" t="n">
        <v>2.1</v>
      </c>
      <c r="AT17" s="2" t="n">
        <v>2.51525</v>
      </c>
      <c r="AU17" s="2" t="n">
        <v>1229.704</v>
      </c>
      <c r="AV17" s="2" t="n">
        <v>3.77105100088856</v>
      </c>
      <c r="AW17" s="2" t="n">
        <v>1222</v>
      </c>
      <c r="AX17" s="2" t="n">
        <v>1230</v>
      </c>
      <c r="AY17" s="2" t="n">
        <v>1237</v>
      </c>
      <c r="AZ17" s="2" t="n">
        <v>1.50623453</v>
      </c>
      <c r="BA17" s="2" t="n">
        <v>1.45475276835625</v>
      </c>
    </row>
    <row r="18" customFormat="false" ht="15" hidden="false" customHeight="false" outlineLevel="0" collapsed="false">
      <c r="A18" s="2" t="s">
        <v>88</v>
      </c>
      <c r="B18" s="2" t="n">
        <v>2009</v>
      </c>
      <c r="C18" s="2" t="s">
        <v>54</v>
      </c>
      <c r="D18" s="2" t="s">
        <v>55</v>
      </c>
      <c r="E18" s="2" t="n">
        <v>34</v>
      </c>
      <c r="F18" s="2" t="s">
        <v>89</v>
      </c>
      <c r="G18" s="2" t="n">
        <v>48.51</v>
      </c>
      <c r="H18" s="2" t="n">
        <v>3.44</v>
      </c>
      <c r="I18" s="2" t="n">
        <v>13.67</v>
      </c>
      <c r="J18" s="2" t="n">
        <v>11.96</v>
      </c>
      <c r="K18" s="2" t="n">
        <v>0.18</v>
      </c>
      <c r="L18" s="2" t="n">
        <v>6.73</v>
      </c>
      <c r="M18" s="2" t="n">
        <v>11.71</v>
      </c>
      <c r="N18" s="2" t="n">
        <v>3.03</v>
      </c>
      <c r="O18" s="2" t="n">
        <v>0.46</v>
      </c>
      <c r="P18" s="2" t="n">
        <v>0.32</v>
      </c>
      <c r="Q18" s="2" t="n">
        <v>0.01</v>
      </c>
      <c r="R18" s="2" t="n">
        <v>98.27</v>
      </c>
      <c r="S18" s="2" t="n">
        <v>0.4548</v>
      </c>
      <c r="T18" s="2" t="n">
        <v>0.0243</v>
      </c>
      <c r="U18" s="2" t="n">
        <v>0.151</v>
      </c>
      <c r="V18" s="2" t="n">
        <v>0.0937</v>
      </c>
      <c r="W18" s="2" t="n">
        <v>0.0015</v>
      </c>
      <c r="X18" s="2" t="n">
        <v>0.094</v>
      </c>
      <c r="Y18" s="2" t="n">
        <v>0.1176</v>
      </c>
      <c r="Z18" s="2" t="n">
        <v>0.0551</v>
      </c>
      <c r="AA18" s="2" t="n">
        <v>0.0055</v>
      </c>
      <c r="AB18" s="2" t="n">
        <v>0.0025</v>
      </c>
      <c r="AC18" s="2" t="n">
        <v>50.0799147575919</v>
      </c>
      <c r="AD18" s="2" t="n">
        <v>0.680949623624783</v>
      </c>
      <c r="AE18" s="2" t="n">
        <v>0.249257180587653</v>
      </c>
      <c r="AF18" s="2" t="n">
        <v>0.778807947019868</v>
      </c>
      <c r="AG18" s="2" t="n">
        <v>0.20684304</v>
      </c>
      <c r="AH18" s="2" t="n">
        <v>0.01105164</v>
      </c>
      <c r="AI18" s="3" t="b">
        <f aca="false">TRUE()</f>
        <v>1</v>
      </c>
      <c r="AJ18" s="2" t="n">
        <v>0.942</v>
      </c>
      <c r="AK18" s="2" t="s">
        <v>57</v>
      </c>
      <c r="AL18" s="2" t="n">
        <v>1215</v>
      </c>
      <c r="AM18" s="2" t="n">
        <v>2.24</v>
      </c>
      <c r="AN18" s="2" t="n">
        <v>7.72358272</v>
      </c>
      <c r="AO18" s="2" t="n">
        <v>500</v>
      </c>
      <c r="AP18" s="2" t="n">
        <v>2.05692</v>
      </c>
      <c r="AQ18" s="2" t="n">
        <v>0.21587802167076</v>
      </c>
      <c r="AR18" s="2" t="n">
        <v>1.6495</v>
      </c>
      <c r="AS18" s="2" t="n">
        <v>2.05</v>
      </c>
      <c r="AT18" s="2" t="n">
        <v>2.4705</v>
      </c>
      <c r="AU18" s="2" t="n">
        <v>1237.178</v>
      </c>
      <c r="AV18" s="2" t="n">
        <v>3.72371428766929</v>
      </c>
      <c r="AW18" s="2" t="n">
        <v>1230</v>
      </c>
      <c r="AX18" s="2" t="n">
        <v>1237</v>
      </c>
      <c r="AY18" s="2" t="n">
        <v>1244</v>
      </c>
      <c r="AZ18" s="2" t="n">
        <v>1.403257822425</v>
      </c>
      <c r="BA18" s="2" t="n">
        <v>1.473078296425</v>
      </c>
    </row>
    <row r="19" customFormat="false" ht="15" hidden="false" customHeight="false" outlineLevel="0" collapsed="false">
      <c r="A19" s="2" t="s">
        <v>90</v>
      </c>
      <c r="B19" s="2" t="n">
        <v>2009</v>
      </c>
      <c r="C19" s="2" t="s">
        <v>54</v>
      </c>
      <c r="D19" s="2" t="s">
        <v>55</v>
      </c>
      <c r="E19" s="2" t="n">
        <v>35</v>
      </c>
      <c r="F19" s="2" t="s">
        <v>91</v>
      </c>
      <c r="G19" s="2" t="n">
        <v>48.85</v>
      </c>
      <c r="H19" s="2" t="n">
        <v>3.43</v>
      </c>
      <c r="I19" s="2" t="n">
        <v>13.78</v>
      </c>
      <c r="J19" s="2" t="n">
        <v>11.74</v>
      </c>
      <c r="K19" s="2" t="n">
        <v>0.19</v>
      </c>
      <c r="L19" s="2" t="n">
        <v>6.57</v>
      </c>
      <c r="M19" s="2" t="n">
        <v>11.66</v>
      </c>
      <c r="N19" s="2" t="n">
        <v>3.04</v>
      </c>
      <c r="O19" s="2" t="n">
        <v>0.44</v>
      </c>
      <c r="P19" s="2" t="n">
        <v>0.29</v>
      </c>
      <c r="Q19" s="2" t="n">
        <v>0.03</v>
      </c>
      <c r="R19" s="2" t="n">
        <v>98.72</v>
      </c>
      <c r="S19" s="2" t="n">
        <v>0.4581</v>
      </c>
      <c r="T19" s="2" t="n">
        <v>0.0242</v>
      </c>
      <c r="U19" s="2" t="n">
        <v>0.1523</v>
      </c>
      <c r="V19" s="2" t="n">
        <v>0.0921</v>
      </c>
      <c r="W19" s="2" t="n">
        <v>0.0015</v>
      </c>
      <c r="X19" s="2" t="n">
        <v>0.0918</v>
      </c>
      <c r="Y19" s="2" t="n">
        <v>0.1172</v>
      </c>
      <c r="Z19" s="2" t="n">
        <v>0.0553</v>
      </c>
      <c r="AA19" s="2" t="n">
        <v>0.0052</v>
      </c>
      <c r="AB19" s="2" t="n">
        <v>0.0023</v>
      </c>
      <c r="AC19" s="2" t="n">
        <v>49.9184339314845</v>
      </c>
      <c r="AD19" s="2" t="n">
        <v>0.679420289855073</v>
      </c>
      <c r="AE19" s="2" t="n">
        <v>0.249508519003932</v>
      </c>
      <c r="AF19" s="2" t="n">
        <v>0.769533814839133</v>
      </c>
      <c r="AG19" s="2" t="n">
        <v>0.20985561</v>
      </c>
      <c r="AH19" s="2" t="n">
        <v>0.01108602</v>
      </c>
      <c r="AI19" s="3" t="b">
        <f aca="false">TRUE()</f>
        <v>1</v>
      </c>
      <c r="AJ19" s="2" t="n">
        <v>0.945</v>
      </c>
      <c r="AK19" s="2" t="s">
        <v>57</v>
      </c>
      <c r="AL19" s="2" t="n">
        <v>1205</v>
      </c>
      <c r="AM19" s="2" t="n">
        <v>1.84</v>
      </c>
      <c r="AN19" s="2" t="n">
        <v>6.36667232</v>
      </c>
      <c r="AO19" s="2" t="n">
        <v>500</v>
      </c>
      <c r="AP19" s="2" t="n">
        <v>1.66866</v>
      </c>
      <c r="AQ19" s="2" t="n">
        <v>0.209215550792447</v>
      </c>
      <c r="AR19" s="2" t="n">
        <v>1.25</v>
      </c>
      <c r="AS19" s="2" t="n">
        <v>1.68</v>
      </c>
      <c r="AT19" s="2" t="n">
        <v>2.0905</v>
      </c>
      <c r="AU19" s="2" t="n">
        <v>1227.094</v>
      </c>
      <c r="AV19" s="2" t="n">
        <v>3.77858696325462</v>
      </c>
      <c r="AW19" s="2" t="n">
        <v>1220</v>
      </c>
      <c r="AX19" s="2" t="n">
        <v>1227</v>
      </c>
      <c r="AY19" s="2" t="n">
        <v>1234</v>
      </c>
      <c r="AZ19" s="2" t="n">
        <v>1.50623453</v>
      </c>
      <c r="BA19" s="2" t="n">
        <v>1.438171089425</v>
      </c>
    </row>
    <row r="20" customFormat="false" ht="15" hidden="false" customHeight="false" outlineLevel="0" collapsed="false">
      <c r="A20" s="2" t="s">
        <v>92</v>
      </c>
      <c r="B20" s="2" t="n">
        <v>2009</v>
      </c>
      <c r="C20" s="2" t="s">
        <v>54</v>
      </c>
      <c r="D20" s="2" t="s">
        <v>55</v>
      </c>
      <c r="E20" s="2" t="n">
        <v>36</v>
      </c>
      <c r="F20" s="2" t="s">
        <v>93</v>
      </c>
      <c r="G20" s="2" t="n">
        <v>48.48</v>
      </c>
      <c r="H20" s="2" t="n">
        <v>3.52</v>
      </c>
      <c r="I20" s="2" t="n">
        <v>13.76</v>
      </c>
      <c r="J20" s="2" t="n">
        <v>11.99</v>
      </c>
      <c r="K20" s="2" t="n">
        <v>0.2</v>
      </c>
      <c r="L20" s="2" t="n">
        <v>6.66</v>
      </c>
      <c r="M20" s="2" t="n">
        <v>11.61</v>
      </c>
      <c r="N20" s="2" t="n">
        <v>2.98</v>
      </c>
      <c r="O20" s="2" t="n">
        <v>0.46</v>
      </c>
      <c r="P20" s="2" t="n">
        <v>0.33</v>
      </c>
      <c r="Q20" s="2" t="n">
        <v>0.01</v>
      </c>
      <c r="R20" s="2" t="n">
        <v>99.03</v>
      </c>
      <c r="S20" s="2" t="n">
        <v>0.4549</v>
      </c>
      <c r="T20" s="2" t="n">
        <v>0.0249</v>
      </c>
      <c r="U20" s="2" t="n">
        <v>0.1522</v>
      </c>
      <c r="V20" s="2" t="n">
        <v>0.0941</v>
      </c>
      <c r="W20" s="2" t="n">
        <v>0.0016</v>
      </c>
      <c r="X20" s="2" t="n">
        <v>0.0931</v>
      </c>
      <c r="Y20" s="2" t="n">
        <v>0.1168</v>
      </c>
      <c r="Z20" s="2" t="n">
        <v>0.0542</v>
      </c>
      <c r="AA20" s="2" t="n">
        <v>0.0056</v>
      </c>
      <c r="AB20" s="2" t="n">
        <v>0.0026</v>
      </c>
      <c r="AC20" s="2" t="n">
        <v>49.732905982906</v>
      </c>
      <c r="AD20" s="2" t="n">
        <v>0.683040935672515</v>
      </c>
      <c r="AE20" s="2" t="n">
        <v>0.250700049415253</v>
      </c>
      <c r="AF20" s="2" t="n">
        <v>0.767411300919842</v>
      </c>
      <c r="AG20" s="2" t="n">
        <v>0.20693401</v>
      </c>
      <c r="AH20" s="2" t="n">
        <v>0.01132701</v>
      </c>
      <c r="AI20" s="3" t="b">
        <f aca="false">TRUE()</f>
        <v>1</v>
      </c>
      <c r="AJ20" s="2" t="n">
        <v>0.943</v>
      </c>
      <c r="AK20" s="2" t="s">
        <v>57</v>
      </c>
      <c r="AL20" s="2" t="n">
        <v>1209</v>
      </c>
      <c r="AM20" s="2" t="n">
        <v>2.38</v>
      </c>
      <c r="AN20" s="2" t="n">
        <v>8.19621068</v>
      </c>
      <c r="AO20" s="2" t="n">
        <v>500</v>
      </c>
      <c r="AP20" s="2" t="n">
        <v>2.17246</v>
      </c>
      <c r="AQ20" s="2" t="n">
        <v>0.213692014249264</v>
      </c>
      <c r="AR20" s="2" t="n">
        <v>1.7495</v>
      </c>
      <c r="AS20" s="2" t="n">
        <v>2.19</v>
      </c>
      <c r="AT20" s="2" t="n">
        <v>2.59</v>
      </c>
      <c r="AU20" s="2" t="n">
        <v>1233.026</v>
      </c>
      <c r="AV20" s="2" t="n">
        <v>3.78125902837657</v>
      </c>
      <c r="AW20" s="2" t="n">
        <v>1226</v>
      </c>
      <c r="AX20" s="2" t="n">
        <v>1233</v>
      </c>
      <c r="AY20" s="2" t="n">
        <v>1240</v>
      </c>
      <c r="AZ20" s="2" t="n">
        <v>1.542874530425</v>
      </c>
      <c r="BA20" s="2" t="n">
        <v>1.401512</v>
      </c>
    </row>
    <row r="21" customFormat="false" ht="15" hidden="false" customHeight="false" outlineLevel="0" collapsed="false">
      <c r="A21" s="2" t="s">
        <v>94</v>
      </c>
      <c r="B21" s="2" t="n">
        <v>2009</v>
      </c>
      <c r="C21" s="2" t="s">
        <v>54</v>
      </c>
      <c r="D21" s="2" t="s">
        <v>55</v>
      </c>
      <c r="E21" s="2" t="n">
        <v>37</v>
      </c>
      <c r="F21" s="2" t="s">
        <v>95</v>
      </c>
      <c r="G21" s="2" t="n">
        <v>48.3</v>
      </c>
      <c r="H21" s="2" t="n">
        <v>3.47</v>
      </c>
      <c r="I21" s="2" t="n">
        <v>14.14</v>
      </c>
      <c r="J21" s="2" t="n">
        <v>11.84</v>
      </c>
      <c r="K21" s="2" t="n">
        <v>0.19</v>
      </c>
      <c r="L21" s="2" t="n">
        <v>6.59</v>
      </c>
      <c r="M21" s="2" t="n">
        <v>11.59</v>
      </c>
      <c r="N21" s="2" t="n">
        <v>3.14</v>
      </c>
      <c r="O21" s="2" t="n">
        <v>0.46</v>
      </c>
      <c r="P21" s="2" t="n">
        <v>0.28</v>
      </c>
      <c r="Q21" s="2" t="n">
        <v>0.02</v>
      </c>
      <c r="R21" s="2" t="n">
        <v>98.88</v>
      </c>
      <c r="S21" s="2" t="n">
        <v>0.4523</v>
      </c>
      <c r="T21" s="2" t="n">
        <v>0.0244</v>
      </c>
      <c r="U21" s="2" t="n">
        <v>0.156</v>
      </c>
      <c r="V21" s="2" t="n">
        <v>0.0928</v>
      </c>
      <c r="W21" s="2" t="n">
        <v>0.0015</v>
      </c>
      <c r="X21" s="2" t="n">
        <v>0.0921</v>
      </c>
      <c r="Y21" s="2" t="n">
        <v>0.1163</v>
      </c>
      <c r="Z21" s="2" t="n">
        <v>0.0569</v>
      </c>
      <c r="AA21" s="2" t="n">
        <v>0.0054</v>
      </c>
      <c r="AB21" s="2" t="n">
        <v>0.0022</v>
      </c>
      <c r="AC21" s="2" t="n">
        <v>49.8107084910763</v>
      </c>
      <c r="AD21" s="2" t="n">
        <v>0.671478060046189</v>
      </c>
      <c r="AE21" s="2" t="n">
        <v>0.256452408351143</v>
      </c>
      <c r="AF21" s="2" t="n">
        <v>0.74551282051282</v>
      </c>
      <c r="AG21" s="2" t="n">
        <v>0.20457529</v>
      </c>
      <c r="AH21" s="2" t="n">
        <v>0.01103612</v>
      </c>
      <c r="AI21" s="3" t="b">
        <f aca="false">TRUE()</f>
        <v>1</v>
      </c>
      <c r="AJ21" s="2" t="n">
        <v>0.944</v>
      </c>
      <c r="AK21" s="2" t="s">
        <v>57</v>
      </c>
      <c r="AL21" s="2" t="n">
        <v>1203</v>
      </c>
      <c r="AM21" s="2" t="n">
        <v>2.58</v>
      </c>
      <c r="AN21" s="2" t="n">
        <v>8.86933308</v>
      </c>
      <c r="AO21" s="2" t="n">
        <v>500</v>
      </c>
      <c r="AP21" s="2" t="n">
        <v>2.38782</v>
      </c>
      <c r="AQ21" s="2" t="n">
        <v>0.220350985279002</v>
      </c>
      <c r="AR21" s="2" t="n">
        <v>1.95475</v>
      </c>
      <c r="AS21" s="2" t="n">
        <v>2.4</v>
      </c>
      <c r="AT21" s="2" t="n">
        <v>2.79525</v>
      </c>
      <c r="AU21" s="2" t="n">
        <v>1223.96</v>
      </c>
      <c r="AV21" s="2" t="n">
        <v>3.51498367285552</v>
      </c>
      <c r="AW21" s="2" t="n">
        <v>1217</v>
      </c>
      <c r="AX21" s="2" t="n">
        <v>1224</v>
      </c>
      <c r="AY21" s="2" t="n">
        <v>1230.525</v>
      </c>
      <c r="AZ21" s="2" t="n">
        <v>1.55944757385625</v>
      </c>
      <c r="BA21" s="2" t="n">
        <v>1.38492593135625</v>
      </c>
    </row>
    <row r="22" customFormat="false" ht="15" hidden="false" customHeight="false" outlineLevel="0" collapsed="false">
      <c r="A22" s="2" t="s">
        <v>96</v>
      </c>
      <c r="B22" s="2" t="n">
        <v>2009</v>
      </c>
      <c r="C22" s="2" t="s">
        <v>54</v>
      </c>
      <c r="D22" s="2" t="s">
        <v>55</v>
      </c>
      <c r="E22" s="2" t="n">
        <v>38</v>
      </c>
      <c r="F22" s="2" t="s">
        <v>97</v>
      </c>
      <c r="G22" s="2" t="n">
        <v>48.75</v>
      </c>
      <c r="H22" s="2" t="n">
        <v>3.54</v>
      </c>
      <c r="I22" s="2" t="n">
        <v>13.74</v>
      </c>
      <c r="J22" s="2" t="n">
        <v>12.12</v>
      </c>
      <c r="K22" s="2" t="n">
        <v>0.19</v>
      </c>
      <c r="L22" s="2" t="n">
        <v>6.45</v>
      </c>
      <c r="M22" s="2" t="n">
        <v>11.5</v>
      </c>
      <c r="N22" s="2" t="n">
        <v>3.01</v>
      </c>
      <c r="O22" s="2" t="n">
        <v>0.46</v>
      </c>
      <c r="P22" s="2" t="n">
        <v>0.24</v>
      </c>
      <c r="Q22" s="2" t="n">
        <v>0.01</v>
      </c>
      <c r="R22" s="2" t="n">
        <v>98.67</v>
      </c>
      <c r="S22" s="2" t="n">
        <v>0.4579</v>
      </c>
      <c r="T22" s="2" t="n">
        <v>0.025</v>
      </c>
      <c r="U22" s="2" t="n">
        <v>0.1521</v>
      </c>
      <c r="V22" s="2" t="n">
        <v>0.0952</v>
      </c>
      <c r="W22" s="2" t="n">
        <v>0.0015</v>
      </c>
      <c r="X22" s="2" t="n">
        <v>0.0903</v>
      </c>
      <c r="Y22" s="2" t="n">
        <v>0.1158</v>
      </c>
      <c r="Z22" s="2" t="n">
        <v>0.0548</v>
      </c>
      <c r="AA22" s="2" t="n">
        <v>0.0055</v>
      </c>
      <c r="AB22" s="2" t="n">
        <v>0.0019</v>
      </c>
      <c r="AC22" s="2" t="n">
        <v>48.6792452830189</v>
      </c>
      <c r="AD22" s="2" t="n">
        <v>0.678780773739742</v>
      </c>
      <c r="AE22" s="2" t="n">
        <v>0.249344262295082</v>
      </c>
      <c r="AF22" s="2" t="n">
        <v>0.761341222879684</v>
      </c>
      <c r="AG22" s="2" t="n">
        <v>0.20967241</v>
      </c>
      <c r="AH22" s="2" t="n">
        <v>0.0114475</v>
      </c>
      <c r="AI22" s="3" t="b">
        <f aca="false">TRUE()</f>
        <v>1</v>
      </c>
      <c r="AJ22" s="2" t="n">
        <v>0.946</v>
      </c>
      <c r="AK22" s="2" t="s">
        <v>57</v>
      </c>
      <c r="AL22" s="2" t="n">
        <v>1204</v>
      </c>
      <c r="AM22" s="2" t="n">
        <v>1.99</v>
      </c>
      <c r="AN22" s="2" t="n">
        <v>6.87664997</v>
      </c>
      <c r="AO22" s="2" t="n">
        <v>500</v>
      </c>
      <c r="AP22" s="2" t="n">
        <v>1.822</v>
      </c>
      <c r="AQ22" s="2" t="n">
        <v>0.207762196418215</v>
      </c>
      <c r="AR22" s="2" t="n">
        <v>1.42475</v>
      </c>
      <c r="AS22" s="2" t="n">
        <v>1.82</v>
      </c>
      <c r="AT22" s="2" t="n">
        <v>2.26</v>
      </c>
      <c r="AU22" s="2" t="n">
        <v>1222.852</v>
      </c>
      <c r="AV22" s="2" t="n">
        <v>3.68201173556545</v>
      </c>
      <c r="AW22" s="2" t="n">
        <v>1216</v>
      </c>
      <c r="AX22" s="2" t="n">
        <v>1223</v>
      </c>
      <c r="AY22" s="2" t="n">
        <v>1230</v>
      </c>
      <c r="AZ22" s="2" t="n">
        <v>1.38492593135625</v>
      </c>
      <c r="BA22" s="2" t="n">
        <v>1.54112992</v>
      </c>
    </row>
    <row r="23" customFormat="false" ht="15" hidden="false" customHeight="false" outlineLevel="0" collapsed="false">
      <c r="A23" s="2" t="s">
        <v>98</v>
      </c>
      <c r="B23" s="2" t="n">
        <v>2009</v>
      </c>
      <c r="C23" s="2" t="s">
        <v>54</v>
      </c>
      <c r="D23" s="2" t="s">
        <v>55</v>
      </c>
      <c r="E23" s="2" t="n">
        <v>39</v>
      </c>
      <c r="F23" s="2" t="s">
        <v>99</v>
      </c>
      <c r="G23" s="2" t="n">
        <v>48.5</v>
      </c>
      <c r="H23" s="2" t="n">
        <v>3.51</v>
      </c>
      <c r="I23" s="2" t="n">
        <v>13.84</v>
      </c>
      <c r="J23" s="2" t="n">
        <v>12.28</v>
      </c>
      <c r="K23" s="2" t="n">
        <v>0.23</v>
      </c>
      <c r="L23" s="2" t="n">
        <v>6.45</v>
      </c>
      <c r="M23" s="2" t="n">
        <v>11.44</v>
      </c>
      <c r="N23" s="2" t="n">
        <v>2.99</v>
      </c>
      <c r="O23" s="2" t="n">
        <v>0.46</v>
      </c>
      <c r="P23" s="2" t="n">
        <v>0.3</v>
      </c>
      <c r="Q23" s="2" t="n">
        <v>0.02</v>
      </c>
      <c r="R23" s="2" t="n">
        <v>98.63</v>
      </c>
      <c r="S23" s="2" t="n">
        <v>0.4557</v>
      </c>
      <c r="T23" s="2" t="n">
        <v>0.0248</v>
      </c>
      <c r="U23" s="2" t="n">
        <v>0.1533</v>
      </c>
      <c r="V23" s="2" t="n">
        <v>0.0965</v>
      </c>
      <c r="W23" s="2" t="n">
        <v>0.0019</v>
      </c>
      <c r="X23" s="2" t="n">
        <v>0.0903</v>
      </c>
      <c r="Y23" s="2" t="n">
        <v>0.1151</v>
      </c>
      <c r="Z23" s="2" t="n">
        <v>0.0545</v>
      </c>
      <c r="AA23" s="2" t="n">
        <v>0.0055</v>
      </c>
      <c r="AB23" s="2" t="n">
        <v>0.0024</v>
      </c>
      <c r="AC23" s="2" t="n">
        <v>48.3404710920771</v>
      </c>
      <c r="AD23" s="2" t="n">
        <v>0.678655660377358</v>
      </c>
      <c r="AE23" s="2" t="n">
        <v>0.251724137931034</v>
      </c>
      <c r="AF23" s="2" t="n">
        <v>0.750815394651011</v>
      </c>
      <c r="AG23" s="2" t="n">
        <v>0.20766249</v>
      </c>
      <c r="AH23" s="2" t="n">
        <v>0.01130136</v>
      </c>
      <c r="AI23" s="3" t="b">
        <f aca="false">TRUE()</f>
        <v>1</v>
      </c>
      <c r="AJ23" s="2" t="n">
        <v>0.947</v>
      </c>
      <c r="AK23" s="2" t="s">
        <v>57</v>
      </c>
      <c r="AL23" s="2" t="n">
        <v>1196</v>
      </c>
      <c r="AM23" s="2" t="n">
        <v>2.36</v>
      </c>
      <c r="AN23" s="2" t="n">
        <v>8.12876512</v>
      </c>
      <c r="AO23" s="2" t="n">
        <v>500</v>
      </c>
      <c r="AP23" s="2" t="n">
        <v>2.1442</v>
      </c>
      <c r="AQ23" s="2" t="n">
        <v>0.218987376215808</v>
      </c>
      <c r="AR23" s="2" t="n">
        <v>1.7295</v>
      </c>
      <c r="AS23" s="2" t="n">
        <v>2.15</v>
      </c>
      <c r="AT23" s="2" t="n">
        <v>2.56</v>
      </c>
      <c r="AU23" s="2" t="n">
        <v>1220.504</v>
      </c>
      <c r="AV23" s="2" t="n">
        <v>3.43359332569431</v>
      </c>
      <c r="AW23" s="2" t="n">
        <v>1214</v>
      </c>
      <c r="AX23" s="2" t="n">
        <v>1221</v>
      </c>
      <c r="AY23" s="2" t="n">
        <v>1227</v>
      </c>
      <c r="AZ23" s="2" t="n">
        <v>1.473078296425</v>
      </c>
      <c r="BA23" s="2" t="n">
        <v>1.43642557</v>
      </c>
    </row>
    <row r="24" customFormat="false" ht="15" hidden="false" customHeight="false" outlineLevel="0" collapsed="false">
      <c r="A24" s="2" t="s">
        <v>100</v>
      </c>
      <c r="B24" s="2" t="n">
        <v>2009</v>
      </c>
      <c r="C24" s="2" t="s">
        <v>54</v>
      </c>
      <c r="D24" s="2" t="s">
        <v>55</v>
      </c>
      <c r="E24" s="2" t="n">
        <v>40</v>
      </c>
      <c r="F24" s="2" t="s">
        <v>101</v>
      </c>
      <c r="G24" s="2" t="n">
        <v>48.52</v>
      </c>
      <c r="H24" s="2" t="n">
        <v>3.5</v>
      </c>
      <c r="I24" s="2" t="n">
        <v>13.73</v>
      </c>
      <c r="J24" s="2" t="n">
        <v>11.91</v>
      </c>
      <c r="K24" s="2" t="n">
        <v>0.2</v>
      </c>
      <c r="L24" s="2" t="n">
        <v>6.67</v>
      </c>
      <c r="M24" s="2" t="n">
        <v>11.68</v>
      </c>
      <c r="N24" s="2" t="n">
        <v>3.02</v>
      </c>
      <c r="O24" s="2" t="n">
        <v>0.42</v>
      </c>
      <c r="P24" s="2" t="n">
        <v>0.37</v>
      </c>
      <c r="Q24" s="2" t="n">
        <v>0.01</v>
      </c>
      <c r="R24" s="2" t="n">
        <v>98.42</v>
      </c>
      <c r="S24" s="2" t="n">
        <v>0.4552</v>
      </c>
      <c r="T24" s="2" t="n">
        <v>0.0247</v>
      </c>
      <c r="U24" s="2" t="n">
        <v>0.1518</v>
      </c>
      <c r="V24" s="2" t="n">
        <v>0.0934</v>
      </c>
      <c r="W24" s="2" t="n">
        <v>0.0016</v>
      </c>
      <c r="X24" s="2" t="n">
        <v>0.0932</v>
      </c>
      <c r="Y24" s="2" t="n">
        <v>0.1173</v>
      </c>
      <c r="Z24" s="2" t="n">
        <v>0.0549</v>
      </c>
      <c r="AA24" s="2" t="n">
        <v>0.005</v>
      </c>
      <c r="AB24" s="2" t="n">
        <v>0.0029</v>
      </c>
      <c r="AC24" s="2" t="n">
        <v>49.94640943194</v>
      </c>
      <c r="AD24" s="2" t="n">
        <v>0.681184668989547</v>
      </c>
      <c r="AE24" s="2" t="n">
        <v>0.250082372322899</v>
      </c>
      <c r="AF24" s="2" t="n">
        <v>0.772727272727273</v>
      </c>
      <c r="AG24" s="2" t="n">
        <v>0.20720704</v>
      </c>
      <c r="AH24" s="2" t="n">
        <v>0.01124344</v>
      </c>
      <c r="AI24" s="3" t="b">
        <f aca="false">TRUE()</f>
        <v>1</v>
      </c>
      <c r="AJ24" s="2" t="n">
        <v>0.946</v>
      </c>
      <c r="AK24" s="2" t="s">
        <v>57</v>
      </c>
      <c r="AL24" s="2" t="n">
        <v>1208</v>
      </c>
      <c r="AM24" s="2" t="n">
        <v>2.22</v>
      </c>
      <c r="AN24" s="2" t="n">
        <v>7.65596748</v>
      </c>
      <c r="AO24" s="2" t="n">
        <v>500</v>
      </c>
      <c r="AP24" s="2" t="n">
        <v>2.01572</v>
      </c>
      <c r="AQ24" s="2" t="n">
        <v>0.214341704604273</v>
      </c>
      <c r="AR24" s="2" t="n">
        <v>1.62475</v>
      </c>
      <c r="AS24" s="2" t="n">
        <v>2.02</v>
      </c>
      <c r="AT24" s="2" t="n">
        <v>2.43</v>
      </c>
      <c r="AU24" s="2" t="n">
        <v>1233.056</v>
      </c>
      <c r="AV24" s="2" t="n">
        <v>3.9430901485814</v>
      </c>
      <c r="AW24" s="2" t="n">
        <v>1225</v>
      </c>
      <c r="AX24" s="2" t="n">
        <v>1233</v>
      </c>
      <c r="AY24" s="2" t="n">
        <v>1241</v>
      </c>
      <c r="AZ24" s="2" t="n">
        <v>1.38492593135625</v>
      </c>
      <c r="BA24" s="2" t="n">
        <v>1.43642557</v>
      </c>
    </row>
    <row r="25" customFormat="false" ht="15" hidden="false" customHeight="false" outlineLevel="0" collapsed="false">
      <c r="A25" s="2" t="s">
        <v>102</v>
      </c>
      <c r="B25" s="2" t="n">
        <v>2009</v>
      </c>
      <c r="C25" s="2" t="s">
        <v>54</v>
      </c>
      <c r="D25" s="2" t="s">
        <v>55</v>
      </c>
      <c r="E25" s="2" t="n">
        <v>41</v>
      </c>
      <c r="F25" s="2" t="s">
        <v>103</v>
      </c>
      <c r="G25" s="2" t="n">
        <v>48.73</v>
      </c>
      <c r="H25" s="2" t="n">
        <v>3.4</v>
      </c>
      <c r="I25" s="2" t="n">
        <v>13.95</v>
      </c>
      <c r="J25" s="2" t="n">
        <v>11.81</v>
      </c>
      <c r="K25" s="2" t="n">
        <v>0.17</v>
      </c>
      <c r="L25" s="2" t="n">
        <v>6.69</v>
      </c>
      <c r="M25" s="2" t="n">
        <v>11.54</v>
      </c>
      <c r="N25" s="2" t="n">
        <v>2.93</v>
      </c>
      <c r="O25" s="2" t="n">
        <v>0.44</v>
      </c>
      <c r="P25" s="2" t="n">
        <v>0.34</v>
      </c>
      <c r="Q25" s="2" t="n">
        <v>0.02</v>
      </c>
      <c r="R25" s="2" t="n">
        <v>98.68</v>
      </c>
      <c r="S25" s="2" t="n">
        <v>0.4571</v>
      </c>
      <c r="T25" s="2" t="n">
        <v>0.024</v>
      </c>
      <c r="U25" s="2" t="n">
        <v>0.1542</v>
      </c>
      <c r="V25" s="2" t="n">
        <v>0.0926</v>
      </c>
      <c r="W25" s="2" t="n">
        <v>0.0014</v>
      </c>
      <c r="X25" s="2" t="n">
        <v>0.0935</v>
      </c>
      <c r="Y25" s="2" t="n">
        <v>0.116</v>
      </c>
      <c r="Z25" s="2" t="n">
        <v>0.0533</v>
      </c>
      <c r="AA25" s="2" t="n">
        <v>0.0052</v>
      </c>
      <c r="AB25" s="2" t="n">
        <v>0.0027</v>
      </c>
      <c r="AC25" s="2" t="n">
        <v>50.2418054809242</v>
      </c>
      <c r="AD25" s="2" t="n">
        <v>0.685174246898996</v>
      </c>
      <c r="AE25" s="2" t="n">
        <v>0.252249304760347</v>
      </c>
      <c r="AF25" s="2" t="n">
        <v>0.752269779507134</v>
      </c>
      <c r="AG25" s="2" t="n">
        <v>0.20894041</v>
      </c>
      <c r="AH25" s="2" t="n">
        <v>0.0109704</v>
      </c>
      <c r="AI25" s="3" t="b">
        <f aca="false">TRUE()</f>
        <v>1</v>
      </c>
      <c r="AJ25" s="2" t="n">
        <v>0.945</v>
      </c>
      <c r="AK25" s="2" t="s">
        <v>57</v>
      </c>
      <c r="AL25" s="2" t="n">
        <v>1202</v>
      </c>
      <c r="AM25" s="2" t="n">
        <v>2.51</v>
      </c>
      <c r="AN25" s="2" t="n">
        <v>8.63401597</v>
      </c>
      <c r="AO25" s="2" t="n">
        <v>500</v>
      </c>
      <c r="AP25" s="2" t="n">
        <v>2.30368</v>
      </c>
      <c r="AQ25" s="2" t="n">
        <v>0.220944541867778</v>
      </c>
      <c r="AR25" s="2" t="n">
        <v>1.87</v>
      </c>
      <c r="AS25" s="2" t="n">
        <v>2.3</v>
      </c>
      <c r="AT25" s="2" t="n">
        <v>2.71525</v>
      </c>
      <c r="AU25" s="2" t="n">
        <v>1225.48</v>
      </c>
      <c r="AV25" s="2" t="n">
        <v>3.58598921321224</v>
      </c>
      <c r="AW25" s="2" t="n">
        <v>1219</v>
      </c>
      <c r="AX25" s="2" t="n">
        <v>1225</v>
      </c>
      <c r="AY25" s="2" t="n">
        <v>1233</v>
      </c>
      <c r="AZ25" s="2" t="n">
        <v>1.50623453</v>
      </c>
      <c r="BA25" s="2" t="n">
        <v>1.45475276835625</v>
      </c>
    </row>
    <row r="26" customFormat="false" ht="15" hidden="false" customHeight="false" outlineLevel="0" collapsed="false">
      <c r="A26" s="2" t="s">
        <v>104</v>
      </c>
      <c r="B26" s="2" t="n">
        <v>2009</v>
      </c>
      <c r="C26" s="2" t="s">
        <v>54</v>
      </c>
      <c r="D26" s="2" t="s">
        <v>55</v>
      </c>
      <c r="E26" s="2" t="n">
        <v>42</v>
      </c>
      <c r="F26" s="2" t="s">
        <v>105</v>
      </c>
      <c r="G26" s="2" t="n">
        <v>49.01</v>
      </c>
      <c r="H26" s="2" t="n">
        <v>3.5</v>
      </c>
      <c r="I26" s="2" t="n">
        <v>13.81</v>
      </c>
      <c r="J26" s="2" t="n">
        <v>11.81</v>
      </c>
      <c r="K26" s="2" t="n">
        <v>0.17</v>
      </c>
      <c r="L26" s="2" t="n">
        <v>6.49</v>
      </c>
      <c r="M26" s="2" t="n">
        <v>11.77</v>
      </c>
      <c r="N26" s="2" t="n">
        <v>2.73</v>
      </c>
      <c r="O26" s="2" t="n">
        <v>0.44</v>
      </c>
      <c r="P26" s="2" t="n">
        <v>0.28</v>
      </c>
      <c r="Q26" s="2" t="n">
        <v>0.02</v>
      </c>
      <c r="R26" s="2" t="n">
        <v>98.52</v>
      </c>
      <c r="S26" s="2" t="n">
        <v>0.461</v>
      </c>
      <c r="T26" s="2" t="n">
        <v>0.0248</v>
      </c>
      <c r="U26" s="2" t="n">
        <v>0.1531</v>
      </c>
      <c r="V26" s="2" t="n">
        <v>0.0929</v>
      </c>
      <c r="W26" s="2" t="n">
        <v>0.0014</v>
      </c>
      <c r="X26" s="2" t="n">
        <v>0.091</v>
      </c>
      <c r="Y26" s="2" t="n">
        <v>0.1186</v>
      </c>
      <c r="Z26" s="2" t="n">
        <v>0.0498</v>
      </c>
      <c r="AA26" s="2" t="n">
        <v>0.0052</v>
      </c>
      <c r="AB26" s="2" t="n">
        <v>0.0023</v>
      </c>
      <c r="AC26" s="2" t="n">
        <v>49.4834148994018</v>
      </c>
      <c r="AD26" s="2" t="n">
        <v>0.704275534441805</v>
      </c>
      <c r="AE26" s="2" t="n">
        <v>0.249307930304511</v>
      </c>
      <c r="AF26" s="2" t="n">
        <v>0.774657086871326</v>
      </c>
      <c r="AG26" s="2" t="n">
        <v>0.212521</v>
      </c>
      <c r="AH26" s="2" t="n">
        <v>0.0114328</v>
      </c>
      <c r="AI26" s="3" t="b">
        <f aca="false">FALSE()</f>
        <v>0</v>
      </c>
      <c r="AJ26" s="2" t="n">
        <v>0.945</v>
      </c>
      <c r="AK26" s="2" t="s">
        <v>106</v>
      </c>
      <c r="AL26" s="2" t="n">
        <v>1202</v>
      </c>
      <c r="AM26" s="2" t="n">
        <v>1.56</v>
      </c>
      <c r="AN26" s="2" t="n">
        <v>5.41106592</v>
      </c>
      <c r="AO26" s="2" t="n">
        <v>500</v>
      </c>
      <c r="AP26" s="2" t="n">
        <v>1.37706</v>
      </c>
      <c r="AQ26" s="2" t="n">
        <v>0.209941198943962</v>
      </c>
      <c r="AR26" s="2" t="n">
        <v>0.98</v>
      </c>
      <c r="AS26" s="2" t="n">
        <v>1.38</v>
      </c>
      <c r="AT26" s="2" t="n">
        <v>1.76525</v>
      </c>
      <c r="AU26" s="2" t="n">
        <v>1222.136</v>
      </c>
      <c r="AV26" s="2" t="n">
        <v>3.6447321087137</v>
      </c>
      <c r="AW26" s="2" t="n">
        <v>1214</v>
      </c>
      <c r="AX26" s="2" t="n">
        <v>1222</v>
      </c>
      <c r="AY26" s="2" t="n">
        <v>1229</v>
      </c>
      <c r="AZ26" s="2" t="n">
        <v>1.401512</v>
      </c>
      <c r="BA26" s="2" t="n">
        <v>1.35000342285625</v>
      </c>
    </row>
    <row r="27" customFormat="false" ht="15" hidden="false" customHeight="false" outlineLevel="0" collapsed="false">
      <c r="A27" s="2" t="s">
        <v>107</v>
      </c>
      <c r="B27" s="2" t="n">
        <v>2009</v>
      </c>
      <c r="C27" s="2" t="s">
        <v>54</v>
      </c>
      <c r="D27" s="2" t="s">
        <v>55</v>
      </c>
      <c r="E27" s="2" t="n">
        <v>43</v>
      </c>
      <c r="F27" s="2" t="s">
        <v>108</v>
      </c>
      <c r="G27" s="2" t="n">
        <v>48.67</v>
      </c>
      <c r="H27" s="2" t="n">
        <v>3.46</v>
      </c>
      <c r="I27" s="2" t="n">
        <v>13.71</v>
      </c>
      <c r="J27" s="2" t="n">
        <v>12.04</v>
      </c>
      <c r="K27" s="2" t="n">
        <v>0.18</v>
      </c>
      <c r="L27" s="2" t="n">
        <v>6.54</v>
      </c>
      <c r="M27" s="2" t="n">
        <v>11.58</v>
      </c>
      <c r="N27" s="2" t="n">
        <v>3.04</v>
      </c>
      <c r="O27" s="2" t="n">
        <v>0.45</v>
      </c>
      <c r="P27" s="2" t="n">
        <v>0.32</v>
      </c>
      <c r="Q27" s="2" t="n">
        <v>0.01</v>
      </c>
      <c r="R27" s="2" t="n">
        <v>99.25</v>
      </c>
      <c r="S27" s="2" t="n">
        <v>0.4567</v>
      </c>
      <c r="T27" s="2" t="n">
        <v>0.0244</v>
      </c>
      <c r="U27" s="2" t="n">
        <v>0.1517</v>
      </c>
      <c r="V27" s="2" t="n">
        <v>0.0945</v>
      </c>
      <c r="W27" s="2" t="n">
        <v>0.0014</v>
      </c>
      <c r="X27" s="2" t="n">
        <v>0.0915</v>
      </c>
      <c r="Y27" s="2" t="n">
        <v>0.1164</v>
      </c>
      <c r="Z27" s="2" t="n">
        <v>0.0554</v>
      </c>
      <c r="AA27" s="2" t="n">
        <v>0.0054</v>
      </c>
      <c r="AB27" s="2" t="n">
        <v>0.0026</v>
      </c>
      <c r="AC27" s="2" t="n">
        <v>49.1935483870968</v>
      </c>
      <c r="AD27" s="2" t="n">
        <v>0.677532013969732</v>
      </c>
      <c r="AE27" s="2" t="n">
        <v>0.249342537804076</v>
      </c>
      <c r="AF27" s="2" t="n">
        <v>0.767303889255109</v>
      </c>
      <c r="AG27" s="2" t="n">
        <v>0.20857489</v>
      </c>
      <c r="AH27" s="2" t="n">
        <v>0.01114348</v>
      </c>
      <c r="AI27" s="3" t="b">
        <f aca="false">TRUE()</f>
        <v>1</v>
      </c>
      <c r="AJ27" s="2" t="n">
        <v>0.945</v>
      </c>
      <c r="AK27" s="2" t="s">
        <v>57</v>
      </c>
      <c r="AL27" s="2" t="n">
        <v>1205</v>
      </c>
      <c r="AM27" s="2" t="n">
        <v>2.06</v>
      </c>
      <c r="AN27" s="2" t="n">
        <v>7.11417292</v>
      </c>
      <c r="AO27" s="2" t="n">
        <v>500</v>
      </c>
      <c r="AP27" s="2" t="n">
        <v>1.84746</v>
      </c>
      <c r="AQ27" s="2" t="n">
        <v>0.210024686973405</v>
      </c>
      <c r="AR27" s="2" t="n">
        <v>1.44</v>
      </c>
      <c r="AS27" s="2" t="n">
        <v>1.84</v>
      </c>
      <c r="AT27" s="2" t="n">
        <v>2.25</v>
      </c>
      <c r="AU27" s="2" t="n">
        <v>1227.316</v>
      </c>
      <c r="AV27" s="2" t="n">
        <v>3.61971665982226</v>
      </c>
      <c r="AW27" s="2" t="n">
        <v>1220</v>
      </c>
      <c r="AX27" s="2" t="n">
        <v>1227</v>
      </c>
      <c r="AY27" s="2" t="n">
        <v>1234</v>
      </c>
      <c r="AZ27" s="2" t="n">
        <v>1.401512</v>
      </c>
      <c r="BA27" s="2" t="n">
        <v>1.43642557</v>
      </c>
    </row>
    <row r="28" customFormat="false" ht="15" hidden="false" customHeight="false" outlineLevel="0" collapsed="false">
      <c r="A28" s="2" t="s">
        <v>109</v>
      </c>
      <c r="B28" s="2" t="n">
        <v>2009</v>
      </c>
      <c r="C28" s="2" t="s">
        <v>54</v>
      </c>
      <c r="D28" s="2" t="s">
        <v>55</v>
      </c>
      <c r="E28" s="2" t="n">
        <v>44</v>
      </c>
      <c r="F28" s="2" t="s">
        <v>110</v>
      </c>
      <c r="G28" s="2" t="n">
        <v>48.65</v>
      </c>
      <c r="H28" s="2" t="n">
        <v>3.37</v>
      </c>
      <c r="I28" s="2" t="n">
        <v>14.02</v>
      </c>
      <c r="J28" s="2" t="n">
        <v>11.78</v>
      </c>
      <c r="K28" s="2" t="n">
        <v>0.17</v>
      </c>
      <c r="L28" s="2" t="n">
        <v>6.66</v>
      </c>
      <c r="M28" s="2" t="n">
        <v>11.71</v>
      </c>
      <c r="N28" s="2" t="n">
        <v>2.91</v>
      </c>
      <c r="O28" s="2" t="n">
        <v>0.45</v>
      </c>
      <c r="P28" s="2" t="n">
        <v>0.27</v>
      </c>
      <c r="Q28" s="2" t="n">
        <v>0.02</v>
      </c>
      <c r="R28" s="2" t="n">
        <v>99.38</v>
      </c>
      <c r="S28" s="2" t="n">
        <v>0.4562</v>
      </c>
      <c r="T28" s="2" t="n">
        <v>0.0238</v>
      </c>
      <c r="U28" s="2" t="n">
        <v>0.1549</v>
      </c>
      <c r="V28" s="2" t="n">
        <v>0.0924</v>
      </c>
      <c r="W28" s="2" t="n">
        <v>0.0014</v>
      </c>
      <c r="X28" s="2" t="n">
        <v>0.0931</v>
      </c>
      <c r="Y28" s="2" t="n">
        <v>0.1177</v>
      </c>
      <c r="Z28" s="2" t="n">
        <v>0.0529</v>
      </c>
      <c r="AA28" s="2" t="n">
        <v>0.0054</v>
      </c>
      <c r="AB28" s="2" t="n">
        <v>0.0022</v>
      </c>
      <c r="AC28" s="2" t="n">
        <v>50.188679245283</v>
      </c>
      <c r="AD28" s="2" t="n">
        <v>0.689917936694021</v>
      </c>
      <c r="AE28" s="2" t="n">
        <v>0.253477335951563</v>
      </c>
      <c r="AF28" s="2" t="n">
        <v>0.75984506132989</v>
      </c>
      <c r="AG28" s="2" t="n">
        <v>0.20811844</v>
      </c>
      <c r="AH28" s="2" t="n">
        <v>0.01085756</v>
      </c>
      <c r="AI28" s="3" t="b">
        <f aca="false">TRUE()</f>
        <v>1</v>
      </c>
      <c r="AJ28" s="2" t="n">
        <v>0.943</v>
      </c>
      <c r="AK28" s="2" t="s">
        <v>57</v>
      </c>
      <c r="AL28" s="2" t="n">
        <v>1205</v>
      </c>
      <c r="AM28" s="2" t="n">
        <v>2.26</v>
      </c>
      <c r="AN28" s="2" t="n">
        <v>7.79117372</v>
      </c>
      <c r="AO28" s="2" t="n">
        <v>500</v>
      </c>
      <c r="AP28" s="2" t="n">
        <v>2.10486</v>
      </c>
      <c r="AQ28" s="2" t="n">
        <v>0.206619368712263</v>
      </c>
      <c r="AR28" s="2" t="n">
        <v>1.7095</v>
      </c>
      <c r="AS28" s="2" t="n">
        <v>2.11</v>
      </c>
      <c r="AT28" s="2" t="n">
        <v>2.49525</v>
      </c>
      <c r="AU28" s="2" t="n">
        <v>1225.322</v>
      </c>
      <c r="AV28" s="2" t="n">
        <v>3.70320718931225</v>
      </c>
      <c r="AW28" s="2" t="n">
        <v>1218</v>
      </c>
      <c r="AX28" s="2" t="n">
        <v>1225</v>
      </c>
      <c r="AY28" s="2" t="n">
        <v>1232</v>
      </c>
      <c r="AZ28" s="2" t="n">
        <v>1.403257822425</v>
      </c>
      <c r="BA28" s="2" t="n">
        <v>1.35000342285625</v>
      </c>
    </row>
    <row r="29" customFormat="false" ht="15" hidden="false" customHeight="false" outlineLevel="0" collapsed="false">
      <c r="A29" s="2" t="s">
        <v>111</v>
      </c>
      <c r="B29" s="2" t="n">
        <v>2009</v>
      </c>
      <c r="C29" s="2" t="s">
        <v>54</v>
      </c>
      <c r="D29" s="2" t="s">
        <v>55</v>
      </c>
      <c r="E29" s="2" t="n">
        <v>45</v>
      </c>
      <c r="F29" s="2" t="s">
        <v>112</v>
      </c>
      <c r="G29" s="2" t="n">
        <v>48.38</v>
      </c>
      <c r="H29" s="2" t="n">
        <v>3.43</v>
      </c>
      <c r="I29" s="2" t="n">
        <v>13.9</v>
      </c>
      <c r="J29" s="2" t="n">
        <v>12.28</v>
      </c>
      <c r="K29" s="2" t="n">
        <v>0.17</v>
      </c>
      <c r="L29" s="2" t="n">
        <v>6.55</v>
      </c>
      <c r="M29" s="2" t="n">
        <v>11.75</v>
      </c>
      <c r="N29" s="2" t="n">
        <v>2.83</v>
      </c>
      <c r="O29" s="2" t="n">
        <v>0.43</v>
      </c>
      <c r="P29" s="2" t="n">
        <v>0.28</v>
      </c>
      <c r="Q29" s="2" t="n">
        <v>0.01</v>
      </c>
      <c r="R29" s="2" t="n">
        <v>96.16</v>
      </c>
      <c r="S29" s="2" t="n">
        <v>0.4548</v>
      </c>
      <c r="T29" s="2" t="n">
        <v>0.0243</v>
      </c>
      <c r="U29" s="2" t="n">
        <v>0.154</v>
      </c>
      <c r="V29" s="2" t="n">
        <v>0.0966</v>
      </c>
      <c r="W29" s="2" t="n">
        <v>0.0013</v>
      </c>
      <c r="X29" s="2" t="n">
        <v>0.0918</v>
      </c>
      <c r="Y29" s="2" t="n">
        <v>0.1183</v>
      </c>
      <c r="Z29" s="2" t="n">
        <v>0.0515</v>
      </c>
      <c r="AA29" s="2" t="n">
        <v>0.0051</v>
      </c>
      <c r="AB29" s="2" t="n">
        <v>0.0022</v>
      </c>
      <c r="AC29" s="2" t="n">
        <v>48.7261146496815</v>
      </c>
      <c r="AD29" s="2" t="n">
        <v>0.696702002355713</v>
      </c>
      <c r="AE29" s="2" t="n">
        <v>0.252956636005256</v>
      </c>
      <c r="AF29" s="2" t="n">
        <v>0.768181818181818</v>
      </c>
      <c r="AG29" s="2" t="n">
        <v>0.20684304</v>
      </c>
      <c r="AH29" s="2" t="n">
        <v>0.01105164</v>
      </c>
      <c r="AI29" s="3" t="b">
        <f aca="false">TRUE()</f>
        <v>1</v>
      </c>
      <c r="AJ29" s="2" t="n">
        <v>0.948</v>
      </c>
      <c r="AK29" s="2" t="s">
        <v>57</v>
      </c>
      <c r="AL29" s="2" t="n">
        <v>1203</v>
      </c>
      <c r="AM29" s="2" t="n">
        <v>2.16</v>
      </c>
      <c r="AN29" s="2" t="n">
        <v>7.45297632</v>
      </c>
      <c r="AO29" s="2" t="n">
        <v>500</v>
      </c>
      <c r="AP29" s="2" t="n">
        <v>1.97794</v>
      </c>
      <c r="AQ29" s="2" t="n">
        <v>0.212603756115052</v>
      </c>
      <c r="AR29" s="2" t="n">
        <v>1.56</v>
      </c>
      <c r="AS29" s="2" t="n">
        <v>1.98</v>
      </c>
      <c r="AT29" s="2" t="n">
        <v>2.40525</v>
      </c>
      <c r="AU29" s="2" t="n">
        <v>1222.64</v>
      </c>
      <c r="AV29" s="2" t="n">
        <v>3.83507700460663</v>
      </c>
      <c r="AW29" s="2" t="n">
        <v>1215</v>
      </c>
      <c r="AX29" s="2" t="n">
        <v>1223</v>
      </c>
      <c r="AY29" s="2" t="n">
        <v>1230</v>
      </c>
      <c r="AZ29" s="2" t="n">
        <v>1.47133308</v>
      </c>
      <c r="BA29" s="2" t="n">
        <v>1.48965709685625</v>
      </c>
    </row>
    <row r="30" customFormat="false" ht="15" hidden="false" customHeight="false" outlineLevel="0" collapsed="false">
      <c r="A30" s="2" t="s">
        <v>113</v>
      </c>
      <c r="B30" s="2" t="n">
        <v>2009</v>
      </c>
      <c r="C30" s="2" t="s">
        <v>54</v>
      </c>
      <c r="D30" s="2" t="s">
        <v>55</v>
      </c>
      <c r="E30" s="2" t="n">
        <v>46</v>
      </c>
      <c r="F30" s="2" t="s">
        <v>114</v>
      </c>
      <c r="G30" s="2" t="n">
        <v>48.83</v>
      </c>
      <c r="H30" s="2" t="n">
        <v>3.62</v>
      </c>
      <c r="I30" s="2" t="n">
        <v>13.61</v>
      </c>
      <c r="J30" s="2" t="n">
        <v>12.06</v>
      </c>
      <c r="K30" s="2" t="n">
        <v>0.18</v>
      </c>
      <c r="L30" s="2" t="n">
        <v>6.38</v>
      </c>
      <c r="M30" s="2" t="n">
        <v>11.49</v>
      </c>
      <c r="N30" s="2" t="n">
        <v>2.99</v>
      </c>
      <c r="O30" s="2" t="n">
        <v>0.5</v>
      </c>
      <c r="P30" s="2" t="n">
        <v>0.33</v>
      </c>
      <c r="Q30" s="2" t="n">
        <v>0.02</v>
      </c>
      <c r="R30" s="2" t="n">
        <v>98.26</v>
      </c>
      <c r="S30" s="2" t="n">
        <v>0.4591</v>
      </c>
      <c r="T30" s="2" t="n">
        <v>0.0256</v>
      </c>
      <c r="U30" s="2" t="n">
        <v>0.1508</v>
      </c>
      <c r="V30" s="2" t="n">
        <v>0.0948</v>
      </c>
      <c r="W30" s="2" t="n">
        <v>0.0015</v>
      </c>
      <c r="X30" s="2" t="n">
        <v>0.0894</v>
      </c>
      <c r="Y30" s="2" t="n">
        <v>0.1157</v>
      </c>
      <c r="Z30" s="2" t="n">
        <v>0.0545</v>
      </c>
      <c r="AA30" s="2" t="n">
        <v>0.006</v>
      </c>
      <c r="AB30" s="2" t="n">
        <v>0.0026</v>
      </c>
      <c r="AC30" s="2" t="n">
        <v>48.5342019543974</v>
      </c>
      <c r="AD30" s="2" t="n">
        <v>0.67978848413631</v>
      </c>
      <c r="AE30" s="2" t="n">
        <v>0.247253648139039</v>
      </c>
      <c r="AF30" s="2" t="n">
        <v>0.767241379310345</v>
      </c>
      <c r="AG30" s="2" t="n">
        <v>0.21077281</v>
      </c>
      <c r="AH30" s="2" t="n">
        <v>0.01175296</v>
      </c>
      <c r="AI30" s="3" t="b">
        <f aca="false">TRUE()</f>
        <v>1</v>
      </c>
      <c r="AJ30" s="2" t="n">
        <v>0.941</v>
      </c>
      <c r="AK30" s="2" t="s">
        <v>57</v>
      </c>
      <c r="AL30" s="2" t="n">
        <v>1202</v>
      </c>
      <c r="AM30" s="2" t="n">
        <v>1.78</v>
      </c>
      <c r="AN30" s="2" t="n">
        <v>6.16229948</v>
      </c>
      <c r="AO30" s="2" t="n">
        <v>500</v>
      </c>
      <c r="AP30" s="2" t="n">
        <v>1.5806</v>
      </c>
      <c r="AQ30" s="2" t="n">
        <v>0.212428556892823</v>
      </c>
      <c r="AR30" s="2" t="n">
        <v>1.16475</v>
      </c>
      <c r="AS30" s="2" t="n">
        <v>1.58</v>
      </c>
      <c r="AT30" s="2" t="n">
        <v>1.97525</v>
      </c>
      <c r="AU30" s="2" t="n">
        <v>1225.684</v>
      </c>
      <c r="AV30" s="2" t="n">
        <v>3.46238649495994</v>
      </c>
      <c r="AW30" s="2" t="n">
        <v>1219</v>
      </c>
      <c r="AX30" s="2" t="n">
        <v>1226</v>
      </c>
      <c r="AY30" s="2" t="n">
        <v>1232.525</v>
      </c>
      <c r="AZ30" s="2" t="n">
        <v>1.45475276835625</v>
      </c>
      <c r="BA30" s="2" t="n">
        <v>1.38492593135625</v>
      </c>
    </row>
    <row r="31" customFormat="false" ht="15" hidden="false" customHeight="false" outlineLevel="0" collapsed="false">
      <c r="A31" s="2" t="s">
        <v>115</v>
      </c>
      <c r="B31" s="2" t="n">
        <v>2009</v>
      </c>
      <c r="C31" s="2" t="s">
        <v>54</v>
      </c>
      <c r="D31" s="2" t="s">
        <v>55</v>
      </c>
      <c r="E31" s="2" t="n">
        <v>47</v>
      </c>
      <c r="F31" s="2" t="s">
        <v>116</v>
      </c>
      <c r="G31" s="2" t="n">
        <v>48.62</v>
      </c>
      <c r="H31" s="2" t="n">
        <v>3.78</v>
      </c>
      <c r="I31" s="2" t="n">
        <v>13.42</v>
      </c>
      <c r="J31" s="2" t="n">
        <v>12.57</v>
      </c>
      <c r="K31" s="2" t="n">
        <v>0.23</v>
      </c>
      <c r="L31" s="2" t="n">
        <v>6.14</v>
      </c>
      <c r="M31" s="2" t="n">
        <v>11.19</v>
      </c>
      <c r="N31" s="2" t="n">
        <v>3.21</v>
      </c>
      <c r="O31" s="2" t="n">
        <v>0.48</v>
      </c>
      <c r="P31" s="2" t="n">
        <v>0.36</v>
      </c>
      <c r="Q31" s="2" t="n">
        <v>0.03</v>
      </c>
      <c r="R31" s="2" t="n">
        <v>98.72</v>
      </c>
      <c r="S31" s="2" t="n">
        <v>0.4575</v>
      </c>
      <c r="T31" s="2" t="n">
        <v>0.0268</v>
      </c>
      <c r="U31" s="2" t="n">
        <v>0.1488</v>
      </c>
      <c r="V31" s="2" t="n">
        <v>0.099</v>
      </c>
      <c r="W31" s="2" t="n">
        <v>0.0019</v>
      </c>
      <c r="X31" s="2" t="n">
        <v>0.0861</v>
      </c>
      <c r="Y31" s="2" t="n">
        <v>0.1128</v>
      </c>
      <c r="Z31" s="2" t="n">
        <v>0.0586</v>
      </c>
      <c r="AA31" s="2" t="n">
        <v>0.0057</v>
      </c>
      <c r="AB31" s="2" t="n">
        <v>0.0029</v>
      </c>
      <c r="AC31" s="2" t="n">
        <v>46.515397082658</v>
      </c>
      <c r="AD31" s="2" t="n">
        <v>0.658109684947491</v>
      </c>
      <c r="AE31" s="2" t="n">
        <v>0.245423057892133</v>
      </c>
      <c r="AF31" s="2" t="n">
        <v>0.758064516129032</v>
      </c>
      <c r="AG31" s="2" t="n">
        <v>0.20930625</v>
      </c>
      <c r="AH31" s="2" t="n">
        <v>0.012261</v>
      </c>
      <c r="AI31" s="3" t="b">
        <f aca="false">TRUE()</f>
        <v>1</v>
      </c>
      <c r="AJ31" s="2" t="n">
        <v>0.948</v>
      </c>
      <c r="AK31" s="2" t="s">
        <v>57</v>
      </c>
      <c r="AL31" s="2" t="n">
        <v>1194</v>
      </c>
      <c r="AM31" s="2" t="n">
        <v>1.84</v>
      </c>
      <c r="AN31" s="2" t="n">
        <v>6.36667232</v>
      </c>
      <c r="AO31" s="2" t="n">
        <v>500</v>
      </c>
      <c r="AP31" s="2" t="n">
        <v>1.62856</v>
      </c>
      <c r="AQ31" s="2" t="n">
        <v>0.20989912263601</v>
      </c>
      <c r="AR31" s="2" t="n">
        <v>1.18</v>
      </c>
      <c r="AS31" s="2" t="n">
        <v>1.63</v>
      </c>
      <c r="AT31" s="2" t="n">
        <v>2.02525</v>
      </c>
      <c r="AU31" s="2" t="n">
        <v>1220.516</v>
      </c>
      <c r="AV31" s="2" t="n">
        <v>3.47705677947534</v>
      </c>
      <c r="AW31" s="2" t="n">
        <v>1214</v>
      </c>
      <c r="AX31" s="2" t="n">
        <v>1220</v>
      </c>
      <c r="AY31" s="2" t="n">
        <v>1227</v>
      </c>
      <c r="AZ31" s="2" t="n">
        <v>1.57601925</v>
      </c>
      <c r="BA31" s="2" t="n">
        <v>1.38492593135625</v>
      </c>
    </row>
    <row r="32" customFormat="false" ht="15" hidden="false" customHeight="false" outlineLevel="0" collapsed="false">
      <c r="A32" s="2" t="s">
        <v>117</v>
      </c>
      <c r="B32" s="2" t="n">
        <v>2009</v>
      </c>
      <c r="C32" s="2" t="s">
        <v>54</v>
      </c>
      <c r="D32" s="2" t="s">
        <v>55</v>
      </c>
      <c r="E32" s="2" t="n">
        <v>48</v>
      </c>
      <c r="F32" s="2" t="s">
        <v>118</v>
      </c>
      <c r="G32" s="2" t="n">
        <v>48.6</v>
      </c>
      <c r="H32" s="2" t="n">
        <v>3.55</v>
      </c>
      <c r="I32" s="2" t="n">
        <v>13.58</v>
      </c>
      <c r="J32" s="2" t="n">
        <v>12.12</v>
      </c>
      <c r="K32" s="2" t="n">
        <v>0.23</v>
      </c>
      <c r="L32" s="2" t="n">
        <v>6.53</v>
      </c>
      <c r="M32" s="2" t="n">
        <v>11.61</v>
      </c>
      <c r="N32" s="2" t="n">
        <v>2.94</v>
      </c>
      <c r="O32" s="2" t="n">
        <v>0.46</v>
      </c>
      <c r="P32" s="2" t="n">
        <v>0.38</v>
      </c>
      <c r="Q32" s="2" t="n">
        <v>0.02</v>
      </c>
      <c r="R32" s="2" t="n">
        <v>98.31</v>
      </c>
      <c r="S32" s="2" t="n">
        <v>0.4568</v>
      </c>
      <c r="T32" s="2" t="n">
        <v>0.0251</v>
      </c>
      <c r="U32" s="2" t="n">
        <v>0.1505</v>
      </c>
      <c r="V32" s="2" t="n">
        <v>0.0953</v>
      </c>
      <c r="W32" s="2" t="n">
        <v>0.0019</v>
      </c>
      <c r="X32" s="2" t="n">
        <v>0.0915</v>
      </c>
      <c r="Y32" s="2" t="n">
        <v>0.1169</v>
      </c>
      <c r="Z32" s="2" t="n">
        <v>0.0536</v>
      </c>
      <c r="AA32" s="2" t="n">
        <v>0.0055</v>
      </c>
      <c r="AB32" s="2" t="n">
        <v>0.003</v>
      </c>
      <c r="AC32" s="2" t="n">
        <v>48.982869379015</v>
      </c>
      <c r="AD32" s="2" t="n">
        <v>0.685630498533724</v>
      </c>
      <c r="AE32" s="2" t="n">
        <v>0.247818211756957</v>
      </c>
      <c r="AF32" s="2" t="n">
        <v>0.776744186046512</v>
      </c>
      <c r="AG32" s="2" t="n">
        <v>0.20866624</v>
      </c>
      <c r="AH32" s="2" t="n">
        <v>0.01146568</v>
      </c>
      <c r="AI32" s="3" t="b">
        <f aca="false">TRUE()</f>
        <v>1</v>
      </c>
      <c r="AJ32" s="2" t="n">
        <v>0.945</v>
      </c>
      <c r="AK32" s="2" t="s">
        <v>57</v>
      </c>
      <c r="AL32" s="2" t="n">
        <v>1204</v>
      </c>
      <c r="AM32" s="2" t="n">
        <v>2</v>
      </c>
      <c r="AN32" s="2" t="n">
        <v>6.9106</v>
      </c>
      <c r="AO32" s="2" t="n">
        <v>500</v>
      </c>
      <c r="AP32" s="2" t="n">
        <v>1.77854</v>
      </c>
      <c r="AQ32" s="2" t="n">
        <v>0.212471071707716</v>
      </c>
      <c r="AR32" s="2" t="n">
        <v>1.36</v>
      </c>
      <c r="AS32" s="2" t="n">
        <v>1.77</v>
      </c>
      <c r="AT32" s="2" t="n">
        <v>2.19525</v>
      </c>
      <c r="AU32" s="2" t="n">
        <v>1230.89</v>
      </c>
      <c r="AV32" s="2" t="n">
        <v>3.82244977004133</v>
      </c>
      <c r="AW32" s="2" t="n">
        <v>1223</v>
      </c>
      <c r="AX32" s="2" t="n">
        <v>1231</v>
      </c>
      <c r="AY32" s="2" t="n">
        <v>1239</v>
      </c>
      <c r="AZ32" s="2" t="n">
        <v>1.43642557</v>
      </c>
      <c r="BA32" s="2" t="n">
        <v>1.48965709685625</v>
      </c>
    </row>
    <row r="33" customFormat="false" ht="15" hidden="false" customHeight="false" outlineLevel="0" collapsed="false">
      <c r="A33" s="2" t="s">
        <v>119</v>
      </c>
      <c r="B33" s="2" t="n">
        <v>2009</v>
      </c>
      <c r="C33" s="2" t="s">
        <v>54</v>
      </c>
      <c r="D33" s="2" t="s">
        <v>55</v>
      </c>
      <c r="E33" s="2" t="n">
        <v>49</v>
      </c>
      <c r="F33" s="2" t="s">
        <v>120</v>
      </c>
      <c r="G33" s="2" t="n">
        <v>48.99</v>
      </c>
      <c r="H33" s="2" t="n">
        <v>3.42</v>
      </c>
      <c r="I33" s="2" t="n">
        <v>14.07</v>
      </c>
      <c r="J33" s="2" t="n">
        <v>11.62</v>
      </c>
      <c r="K33" s="2" t="n">
        <v>0.21</v>
      </c>
      <c r="L33" s="2" t="n">
        <v>6.52</v>
      </c>
      <c r="M33" s="2" t="n">
        <v>11.59</v>
      </c>
      <c r="N33" s="2" t="n">
        <v>2.81</v>
      </c>
      <c r="O33" s="2" t="n">
        <v>0.49</v>
      </c>
      <c r="P33" s="2" t="n">
        <v>0.29</v>
      </c>
      <c r="Q33" s="2" t="n">
        <v>0.03</v>
      </c>
      <c r="R33" s="2" t="n">
        <v>98.08</v>
      </c>
      <c r="S33" s="2" t="n">
        <v>0.46</v>
      </c>
      <c r="T33" s="2" t="n">
        <v>0.0241</v>
      </c>
      <c r="U33" s="2" t="n">
        <v>0.1558</v>
      </c>
      <c r="V33" s="2" t="n">
        <v>0.0912</v>
      </c>
      <c r="W33" s="2" t="n">
        <v>0.0017</v>
      </c>
      <c r="X33" s="2" t="n">
        <v>0.0912</v>
      </c>
      <c r="Y33" s="2" t="n">
        <v>0.1166</v>
      </c>
      <c r="Z33" s="2" t="n">
        <v>0.0512</v>
      </c>
      <c r="AA33" s="2" t="n">
        <v>0.0059</v>
      </c>
      <c r="AB33" s="2" t="n">
        <v>0.0023</v>
      </c>
      <c r="AC33" s="2" t="n">
        <v>50</v>
      </c>
      <c r="AD33" s="2" t="n">
        <v>0.694874851013111</v>
      </c>
      <c r="AE33" s="2" t="n">
        <v>0.253004222150049</v>
      </c>
      <c r="AF33" s="2" t="n">
        <v>0.748395378690629</v>
      </c>
      <c r="AG33" s="2" t="n">
        <v>0.2116</v>
      </c>
      <c r="AH33" s="2" t="n">
        <v>0.011086</v>
      </c>
      <c r="AI33" s="3" t="b">
        <f aca="false">TRUE()</f>
        <v>1</v>
      </c>
      <c r="AJ33" s="2" t="n">
        <v>0.939</v>
      </c>
      <c r="AK33" s="2" t="s">
        <v>57</v>
      </c>
      <c r="AL33" s="2" t="n">
        <v>1195</v>
      </c>
      <c r="AM33" s="2" t="n">
        <v>2.07</v>
      </c>
      <c r="AN33" s="2" t="n">
        <v>7.14808053</v>
      </c>
      <c r="AO33" s="2" t="n">
        <v>500</v>
      </c>
      <c r="AP33" s="2" t="n">
        <v>1.89994</v>
      </c>
      <c r="AQ33" s="2" t="n">
        <v>0.209891174207064</v>
      </c>
      <c r="AR33" s="2" t="n">
        <v>1.4995</v>
      </c>
      <c r="AS33" s="2" t="n">
        <v>1.9</v>
      </c>
      <c r="AT33" s="2" t="n">
        <v>2.34</v>
      </c>
      <c r="AU33" s="2" t="n">
        <v>1217.284</v>
      </c>
      <c r="AV33" s="2" t="n">
        <v>3.71523214615179</v>
      </c>
      <c r="AW33" s="2" t="n">
        <v>1210</v>
      </c>
      <c r="AX33" s="2" t="n">
        <v>1217</v>
      </c>
      <c r="AY33" s="2" t="n">
        <v>1224</v>
      </c>
      <c r="AZ33" s="2" t="n">
        <v>1.403257822425</v>
      </c>
      <c r="BA33" s="2" t="n">
        <v>1.54112992</v>
      </c>
    </row>
    <row r="34" customFormat="false" ht="15" hidden="false" customHeight="false" outlineLevel="0" collapsed="false">
      <c r="A34" s="2" t="s">
        <v>121</v>
      </c>
      <c r="B34" s="2" t="n">
        <v>2009</v>
      </c>
      <c r="C34" s="2" t="s">
        <v>54</v>
      </c>
      <c r="D34" s="2" t="s">
        <v>55</v>
      </c>
      <c r="E34" s="2" t="n">
        <v>50</v>
      </c>
      <c r="F34" s="2" t="s">
        <v>122</v>
      </c>
      <c r="G34" s="2" t="n">
        <v>48.65</v>
      </c>
      <c r="H34" s="2" t="n">
        <v>3.52</v>
      </c>
      <c r="I34" s="2" t="n">
        <v>13.8</v>
      </c>
      <c r="J34" s="2" t="n">
        <v>11.8</v>
      </c>
      <c r="K34" s="2" t="n">
        <v>0.24</v>
      </c>
      <c r="L34" s="2" t="n">
        <v>6.44</v>
      </c>
      <c r="M34" s="2" t="n">
        <v>11.76</v>
      </c>
      <c r="N34" s="2" t="n">
        <v>3.02</v>
      </c>
      <c r="O34" s="2" t="n">
        <v>0.44</v>
      </c>
      <c r="P34" s="2" t="n">
        <v>0.34</v>
      </c>
      <c r="Q34" s="2" t="n">
        <v>0.02</v>
      </c>
      <c r="R34" s="2" t="n">
        <v>98.15</v>
      </c>
      <c r="S34" s="2" t="n">
        <v>0.4567</v>
      </c>
      <c r="T34" s="2" t="n">
        <v>0.0248</v>
      </c>
      <c r="U34" s="2" t="n">
        <v>0.1527</v>
      </c>
      <c r="V34" s="2" t="n">
        <v>0.0926</v>
      </c>
      <c r="W34" s="2" t="n">
        <v>0.0019</v>
      </c>
      <c r="X34" s="2" t="n">
        <v>0.0901</v>
      </c>
      <c r="Y34" s="2" t="n">
        <v>0.1183</v>
      </c>
      <c r="Z34" s="2" t="n">
        <v>0.0549</v>
      </c>
      <c r="AA34" s="2" t="n">
        <v>0.0052</v>
      </c>
      <c r="AB34" s="2" t="n">
        <v>0.0027</v>
      </c>
      <c r="AC34" s="2" t="n">
        <v>49.3158182813355</v>
      </c>
      <c r="AD34" s="2" t="n">
        <v>0.683025404157044</v>
      </c>
      <c r="AE34" s="2" t="n">
        <v>0.250574335411881</v>
      </c>
      <c r="AF34" s="2" t="n">
        <v>0.774721676489849</v>
      </c>
      <c r="AG34" s="2" t="n">
        <v>0.20857489</v>
      </c>
      <c r="AH34" s="2" t="n">
        <v>0.01132616</v>
      </c>
      <c r="AI34" s="3" t="b">
        <f aca="false">FALSE()</f>
        <v>0</v>
      </c>
      <c r="AJ34" s="2" t="n">
        <v>0.946</v>
      </c>
      <c r="AK34" s="2" t="s">
        <v>106</v>
      </c>
      <c r="AL34" s="2" t="n">
        <v>1198</v>
      </c>
      <c r="AM34" s="2" t="n">
        <v>1.6</v>
      </c>
      <c r="AN34" s="2" t="n">
        <v>5.547872</v>
      </c>
      <c r="AO34" s="2" t="n">
        <v>500</v>
      </c>
      <c r="AP34" s="2" t="n">
        <v>1.37158</v>
      </c>
      <c r="AQ34" s="2" t="n">
        <v>0.21530726424362</v>
      </c>
      <c r="AR34" s="2" t="n">
        <v>0.96</v>
      </c>
      <c r="AS34" s="2" t="n">
        <v>1.37</v>
      </c>
      <c r="AT34" s="2" t="n">
        <v>1.77</v>
      </c>
      <c r="AU34" s="2" t="n">
        <v>1224.42</v>
      </c>
      <c r="AV34" s="2" t="n">
        <v>3.67458912130606</v>
      </c>
      <c r="AW34" s="2" t="n">
        <v>1217</v>
      </c>
      <c r="AX34" s="2" t="n">
        <v>1225</v>
      </c>
      <c r="AY34" s="2" t="n">
        <v>1231</v>
      </c>
      <c r="AZ34" s="2" t="n">
        <v>1.43642557</v>
      </c>
      <c r="BA34" s="2" t="n">
        <v>1.401512</v>
      </c>
    </row>
    <row r="35" customFormat="false" ht="15" hidden="false" customHeight="false" outlineLevel="0" collapsed="false">
      <c r="A35" s="2" t="s">
        <v>123</v>
      </c>
      <c r="B35" s="2" t="n">
        <v>2009</v>
      </c>
      <c r="C35" s="2" t="s">
        <v>54</v>
      </c>
      <c r="D35" s="2" t="s">
        <v>55</v>
      </c>
      <c r="E35" s="2" t="n">
        <v>51</v>
      </c>
      <c r="F35" s="2" t="s">
        <v>124</v>
      </c>
      <c r="G35" s="2" t="n">
        <v>48.54</v>
      </c>
      <c r="H35" s="2" t="n">
        <v>3.48</v>
      </c>
      <c r="I35" s="2" t="n">
        <v>13.97</v>
      </c>
      <c r="J35" s="2" t="n">
        <v>11.94</v>
      </c>
      <c r="K35" s="2" t="n">
        <v>0.16</v>
      </c>
      <c r="L35" s="2" t="n">
        <v>6.49</v>
      </c>
      <c r="M35" s="2" t="n">
        <v>11.62</v>
      </c>
      <c r="N35" s="2" t="n">
        <v>3.01</v>
      </c>
      <c r="O35" s="2" t="n">
        <v>0.49</v>
      </c>
      <c r="P35" s="2" t="n">
        <v>0.3</v>
      </c>
      <c r="Q35" s="2" t="n">
        <v>0</v>
      </c>
      <c r="R35" s="2" t="n">
        <v>98.13</v>
      </c>
      <c r="S35" s="2" t="n">
        <v>0.4555</v>
      </c>
      <c r="T35" s="2" t="n">
        <v>0.0245</v>
      </c>
      <c r="U35" s="2" t="n">
        <v>0.1545</v>
      </c>
      <c r="V35" s="2" t="n">
        <v>0.0937</v>
      </c>
      <c r="W35" s="2" t="n">
        <v>0.0013</v>
      </c>
      <c r="X35" s="2" t="n">
        <v>0.0908</v>
      </c>
      <c r="Y35" s="2" t="n">
        <v>0.1168</v>
      </c>
      <c r="Z35" s="2" t="n">
        <v>0.0547</v>
      </c>
      <c r="AA35" s="2" t="n">
        <v>0.0059</v>
      </c>
      <c r="AB35" s="2" t="n">
        <v>0.0023</v>
      </c>
      <c r="AC35" s="2" t="n">
        <v>49.2140921409214</v>
      </c>
      <c r="AD35" s="2" t="n">
        <v>0.681049562682216</v>
      </c>
      <c r="AE35" s="2" t="n">
        <v>0.25327868852459</v>
      </c>
      <c r="AF35" s="2" t="n">
        <v>0.755987055016181</v>
      </c>
      <c r="AG35" s="2" t="n">
        <v>0.20748025</v>
      </c>
      <c r="AH35" s="2" t="n">
        <v>0.01115975</v>
      </c>
      <c r="AI35" s="3" t="b">
        <f aca="false">TRUE()</f>
        <v>1</v>
      </c>
      <c r="AJ35" s="2" t="n">
        <v>0.941</v>
      </c>
      <c r="AK35" s="2" t="s">
        <v>57</v>
      </c>
      <c r="AL35" s="2" t="n">
        <v>1202</v>
      </c>
      <c r="AM35" s="2" t="n">
        <v>2.14</v>
      </c>
      <c r="AN35" s="2" t="n">
        <v>7.38526412</v>
      </c>
      <c r="AO35" s="2" t="n">
        <v>500</v>
      </c>
      <c r="AP35" s="2" t="n">
        <v>1.95666</v>
      </c>
      <c r="AQ35" s="2" t="n">
        <v>0.213569352052846</v>
      </c>
      <c r="AR35" s="2" t="n">
        <v>1.5195</v>
      </c>
      <c r="AS35" s="2" t="n">
        <v>1.95</v>
      </c>
      <c r="AT35" s="2" t="n">
        <v>2.37525</v>
      </c>
      <c r="AU35" s="2" t="n">
        <v>1221.944</v>
      </c>
      <c r="AV35" s="2" t="n">
        <v>3.49819077200697</v>
      </c>
      <c r="AW35" s="2" t="n">
        <v>1215</v>
      </c>
      <c r="AX35" s="2" t="n">
        <v>1222</v>
      </c>
      <c r="AY35" s="2" t="n">
        <v>1228</v>
      </c>
      <c r="AZ35" s="2" t="n">
        <v>1.507979443425</v>
      </c>
      <c r="BA35" s="2" t="n">
        <v>1.48965709685625</v>
      </c>
    </row>
    <row r="36" customFormat="false" ht="15" hidden="false" customHeight="false" outlineLevel="0" collapsed="false">
      <c r="A36" s="2" t="s">
        <v>125</v>
      </c>
      <c r="B36" s="2" t="n">
        <v>2009</v>
      </c>
      <c r="C36" s="2" t="s">
        <v>54</v>
      </c>
      <c r="D36" s="2" t="s">
        <v>55</v>
      </c>
      <c r="E36" s="2" t="n">
        <v>52</v>
      </c>
      <c r="F36" s="2" t="s">
        <v>126</v>
      </c>
      <c r="G36" s="2" t="n">
        <v>48.7</v>
      </c>
      <c r="H36" s="2" t="n">
        <v>3.4</v>
      </c>
      <c r="I36" s="2" t="n">
        <v>13.69</v>
      </c>
      <c r="J36" s="2" t="n">
        <v>11.88</v>
      </c>
      <c r="K36" s="2" t="n">
        <v>0.19</v>
      </c>
      <c r="L36" s="2" t="n">
        <v>6.66</v>
      </c>
      <c r="M36" s="2" t="n">
        <v>11.56</v>
      </c>
      <c r="N36" s="2" t="n">
        <v>3.11</v>
      </c>
      <c r="O36" s="2" t="n">
        <v>0.48</v>
      </c>
      <c r="P36" s="2" t="n">
        <v>0.33</v>
      </c>
      <c r="Q36" s="2" t="n">
        <v>0.01</v>
      </c>
      <c r="R36" s="2" t="n">
        <v>98.72</v>
      </c>
      <c r="S36" s="2" t="n">
        <v>0.4564</v>
      </c>
      <c r="T36" s="2" t="n">
        <v>0.024</v>
      </c>
      <c r="U36" s="2" t="n">
        <v>0.1511</v>
      </c>
      <c r="V36" s="2" t="n">
        <v>0.0931</v>
      </c>
      <c r="W36" s="2" t="n">
        <v>0.0015</v>
      </c>
      <c r="X36" s="2" t="n">
        <v>0.093</v>
      </c>
      <c r="Y36" s="2" t="n">
        <v>0.116</v>
      </c>
      <c r="Z36" s="2" t="n">
        <v>0.0565</v>
      </c>
      <c r="AA36" s="2" t="n">
        <v>0.0057</v>
      </c>
      <c r="AB36" s="2" t="n">
        <v>0.0027</v>
      </c>
      <c r="AC36" s="2" t="n">
        <v>49.9731327243418</v>
      </c>
      <c r="AD36" s="2" t="n">
        <v>0.672463768115942</v>
      </c>
      <c r="AE36" s="2" t="n">
        <v>0.248724279835391</v>
      </c>
      <c r="AF36" s="2" t="n">
        <v>0.767703507610854</v>
      </c>
      <c r="AG36" s="2" t="n">
        <v>0.20830096</v>
      </c>
      <c r="AH36" s="2" t="n">
        <v>0.0109536</v>
      </c>
      <c r="AI36" s="3" t="b">
        <f aca="false">TRUE()</f>
        <v>1</v>
      </c>
      <c r="AJ36" s="2" t="n">
        <v>0.941</v>
      </c>
      <c r="AK36" s="2" t="s">
        <v>57</v>
      </c>
      <c r="AL36" s="2" t="n">
        <v>1209</v>
      </c>
      <c r="AM36" s="2" t="n">
        <v>2.24</v>
      </c>
      <c r="AN36" s="2" t="n">
        <v>7.72358272</v>
      </c>
      <c r="AO36" s="2" t="n">
        <v>500</v>
      </c>
      <c r="AP36" s="2" t="n">
        <v>2.03644</v>
      </c>
      <c r="AQ36" s="2" t="n">
        <v>0.224133437924804</v>
      </c>
      <c r="AR36" s="2" t="n">
        <v>1.62475</v>
      </c>
      <c r="AS36" s="2" t="n">
        <v>2.02</v>
      </c>
      <c r="AT36" s="2" t="n">
        <v>2.46</v>
      </c>
      <c r="AU36" s="2" t="n">
        <v>1232.846</v>
      </c>
      <c r="AV36" s="2" t="n">
        <v>3.67495504587177</v>
      </c>
      <c r="AW36" s="2" t="n">
        <v>1226</v>
      </c>
      <c r="AX36" s="2" t="n">
        <v>1233</v>
      </c>
      <c r="AY36" s="2" t="n">
        <v>1240</v>
      </c>
      <c r="AZ36" s="2" t="n">
        <v>1.38492593135625</v>
      </c>
      <c r="BA36" s="2" t="n">
        <v>1.54112992</v>
      </c>
    </row>
    <row r="37" customFormat="false" ht="15" hidden="false" customHeight="false" outlineLevel="0" collapsed="false">
      <c r="A37" s="2" t="s">
        <v>127</v>
      </c>
      <c r="B37" s="2" t="n">
        <v>2009</v>
      </c>
      <c r="C37" s="2" t="s">
        <v>54</v>
      </c>
      <c r="D37" s="2" t="s">
        <v>55</v>
      </c>
      <c r="E37" s="2" t="n">
        <v>53</v>
      </c>
      <c r="F37" s="2" t="s">
        <v>128</v>
      </c>
      <c r="G37" s="2" t="n">
        <v>48.65</v>
      </c>
      <c r="H37" s="2" t="n">
        <v>3.58</v>
      </c>
      <c r="I37" s="2" t="n">
        <v>13.56</v>
      </c>
      <c r="J37" s="2" t="n">
        <v>12.17</v>
      </c>
      <c r="K37" s="2" t="n">
        <v>0.16</v>
      </c>
      <c r="L37" s="2" t="n">
        <v>6.48</v>
      </c>
      <c r="M37" s="2" t="n">
        <v>11.51</v>
      </c>
      <c r="N37" s="2" t="n">
        <v>3.08</v>
      </c>
      <c r="O37" s="2" t="n">
        <v>0.5</v>
      </c>
      <c r="P37" s="2" t="n">
        <v>0.3</v>
      </c>
      <c r="Q37" s="2" t="n">
        <v>0.01</v>
      </c>
      <c r="R37" s="2" t="n">
        <v>98.25</v>
      </c>
      <c r="S37" s="2" t="n">
        <v>0.4568</v>
      </c>
      <c r="T37" s="2" t="n">
        <v>0.0253</v>
      </c>
      <c r="U37" s="2" t="n">
        <v>0.15</v>
      </c>
      <c r="V37" s="2" t="n">
        <v>0.0955</v>
      </c>
      <c r="W37" s="2" t="n">
        <v>0.0013</v>
      </c>
      <c r="X37" s="2" t="n">
        <v>0.0908</v>
      </c>
      <c r="Y37" s="2" t="n">
        <v>0.1158</v>
      </c>
      <c r="Z37" s="2" t="n">
        <v>0.0561</v>
      </c>
      <c r="AA37" s="2" t="n">
        <v>0.006</v>
      </c>
      <c r="AB37" s="2" t="n">
        <v>0.0023</v>
      </c>
      <c r="AC37" s="2" t="n">
        <v>48.7385936661299</v>
      </c>
      <c r="AD37" s="2" t="n">
        <v>0.673647469458988</v>
      </c>
      <c r="AE37" s="2" t="n">
        <v>0.247198417930125</v>
      </c>
      <c r="AF37" s="2" t="n">
        <v>0.772</v>
      </c>
      <c r="AG37" s="2" t="n">
        <v>0.20866624</v>
      </c>
      <c r="AH37" s="2" t="n">
        <v>0.01155704</v>
      </c>
      <c r="AI37" s="3" t="b">
        <f aca="false">TRUE()</f>
        <v>1</v>
      </c>
      <c r="AJ37" s="2" t="n">
        <v>0.941</v>
      </c>
      <c r="AK37" s="2" t="s">
        <v>57</v>
      </c>
      <c r="AL37" s="2" t="n">
        <v>1211</v>
      </c>
      <c r="AM37" s="2" t="n">
        <v>1.99</v>
      </c>
      <c r="AN37" s="2" t="n">
        <v>6.87664997</v>
      </c>
      <c r="AO37" s="2" t="n">
        <v>500</v>
      </c>
      <c r="AP37" s="2" t="n">
        <v>1.81396</v>
      </c>
      <c r="AQ37" s="2" t="n">
        <v>0.204207050414225</v>
      </c>
      <c r="AR37" s="2" t="n">
        <v>1.46475</v>
      </c>
      <c r="AS37" s="2" t="n">
        <v>1.805</v>
      </c>
      <c r="AT37" s="2" t="n">
        <v>2.22525</v>
      </c>
      <c r="AU37" s="2" t="n">
        <v>1231.618</v>
      </c>
      <c r="AV37" s="2" t="n">
        <v>3.56391343299972</v>
      </c>
      <c r="AW37" s="2" t="n">
        <v>1225</v>
      </c>
      <c r="AX37" s="2" t="n">
        <v>1231</v>
      </c>
      <c r="AY37" s="2" t="n">
        <v>1239</v>
      </c>
      <c r="AZ37" s="2" t="n">
        <v>1.19277714210625</v>
      </c>
      <c r="BA37" s="2" t="n">
        <v>1.47220569010625</v>
      </c>
    </row>
    <row r="38" customFormat="false" ht="15" hidden="false" customHeight="false" outlineLevel="0" collapsed="false">
      <c r="A38" s="2" t="s">
        <v>129</v>
      </c>
      <c r="B38" s="2" t="n">
        <v>2009</v>
      </c>
      <c r="C38" s="2" t="s">
        <v>54</v>
      </c>
      <c r="D38" s="2" t="s">
        <v>55</v>
      </c>
      <c r="E38" s="2" t="n">
        <v>54</v>
      </c>
      <c r="F38" s="2" t="s">
        <v>130</v>
      </c>
      <c r="G38" s="2" t="n">
        <v>48.86</v>
      </c>
      <c r="H38" s="2" t="n">
        <v>3.54</v>
      </c>
      <c r="I38" s="2" t="n">
        <v>13.91</v>
      </c>
      <c r="J38" s="2" t="n">
        <v>11.69</v>
      </c>
      <c r="K38" s="2" t="n">
        <v>0.17</v>
      </c>
      <c r="L38" s="2" t="n">
        <v>6.54</v>
      </c>
      <c r="M38" s="2" t="n">
        <v>11.57</v>
      </c>
      <c r="N38" s="2" t="n">
        <v>2.94</v>
      </c>
      <c r="O38" s="2" t="n">
        <v>0.43</v>
      </c>
      <c r="P38" s="2" t="n">
        <v>0.35</v>
      </c>
      <c r="Q38" s="2" t="n">
        <v>0.03</v>
      </c>
      <c r="R38" s="2" t="n">
        <v>98.46</v>
      </c>
      <c r="S38" s="2" t="n">
        <v>0.4587</v>
      </c>
      <c r="T38" s="2" t="n">
        <v>0.025</v>
      </c>
      <c r="U38" s="2" t="n">
        <v>0.1539</v>
      </c>
      <c r="V38" s="2" t="n">
        <v>0.0918</v>
      </c>
      <c r="W38" s="2" t="n">
        <v>0.0014</v>
      </c>
      <c r="X38" s="2" t="n">
        <v>0.0916</v>
      </c>
      <c r="Y38" s="2" t="n">
        <v>0.1164</v>
      </c>
      <c r="Z38" s="2" t="n">
        <v>0.0534</v>
      </c>
      <c r="AA38" s="2" t="n">
        <v>0.0051</v>
      </c>
      <c r="AB38" s="2" t="n">
        <v>0.0027</v>
      </c>
      <c r="AC38" s="2" t="n">
        <v>49.9454743729553</v>
      </c>
      <c r="AD38" s="2" t="n">
        <v>0.685512367491166</v>
      </c>
      <c r="AE38" s="2" t="n">
        <v>0.251224289911851</v>
      </c>
      <c r="AF38" s="2" t="n">
        <v>0.756335282651072</v>
      </c>
      <c r="AG38" s="2" t="n">
        <v>0.21040569</v>
      </c>
      <c r="AH38" s="2" t="n">
        <v>0.0114675</v>
      </c>
      <c r="AI38" s="3" t="b">
        <f aca="false">TRUE()</f>
        <v>1</v>
      </c>
      <c r="AJ38" s="2" t="n">
        <v>0.946</v>
      </c>
      <c r="AK38" s="2" t="s">
        <v>57</v>
      </c>
      <c r="AL38" s="2" t="n">
        <v>1200</v>
      </c>
      <c r="AM38" s="2" t="n">
        <v>2.08</v>
      </c>
      <c r="AN38" s="2" t="n">
        <v>7.18198208</v>
      </c>
      <c r="AO38" s="2" t="n">
        <v>500</v>
      </c>
      <c r="AP38" s="2" t="n">
        <v>1.86642</v>
      </c>
      <c r="AQ38" s="2" t="n">
        <v>0.216271427286457</v>
      </c>
      <c r="AR38" s="2" t="n">
        <v>1.45475</v>
      </c>
      <c r="AS38" s="2" t="n">
        <v>1.86</v>
      </c>
      <c r="AT38" s="2" t="n">
        <v>2.30525</v>
      </c>
      <c r="AU38" s="2" t="n">
        <v>1223.008</v>
      </c>
      <c r="AV38" s="2" t="n">
        <v>3.58072327307161</v>
      </c>
      <c r="AW38" s="2" t="n">
        <v>1216</v>
      </c>
      <c r="AX38" s="2" t="n">
        <v>1223</v>
      </c>
      <c r="AY38" s="2" t="n">
        <v>1230</v>
      </c>
      <c r="AZ38" s="2" t="n">
        <v>1.41984237985625</v>
      </c>
      <c r="BA38" s="2" t="n">
        <v>1.55944757385625</v>
      </c>
    </row>
    <row r="39" customFormat="false" ht="15" hidden="false" customHeight="false" outlineLevel="0" collapsed="false">
      <c r="A39" s="2" t="s">
        <v>131</v>
      </c>
      <c r="B39" s="2" t="n">
        <v>2009</v>
      </c>
      <c r="C39" s="2" t="s">
        <v>54</v>
      </c>
      <c r="D39" s="2" t="s">
        <v>55</v>
      </c>
      <c r="E39" s="2" t="n">
        <v>55</v>
      </c>
      <c r="F39" s="2" t="s">
        <v>132</v>
      </c>
      <c r="G39" s="2" t="n">
        <v>48.61</v>
      </c>
      <c r="H39" s="2" t="n">
        <v>3.44</v>
      </c>
      <c r="I39" s="2" t="n">
        <v>13.79</v>
      </c>
      <c r="J39" s="2" t="n">
        <v>12.01</v>
      </c>
      <c r="K39" s="2" t="n">
        <v>0.17</v>
      </c>
      <c r="L39" s="2" t="n">
        <v>6.54</v>
      </c>
      <c r="M39" s="2" t="n">
        <v>11.62</v>
      </c>
      <c r="N39" s="2" t="n">
        <v>3.02</v>
      </c>
      <c r="O39" s="2" t="n">
        <v>0.46</v>
      </c>
      <c r="P39" s="2" t="n">
        <v>0.32</v>
      </c>
      <c r="Q39" s="2" t="n">
        <v>0.01</v>
      </c>
      <c r="R39" s="2" t="n">
        <v>99.04</v>
      </c>
      <c r="S39" s="2" t="n">
        <v>0.4561</v>
      </c>
      <c r="T39" s="2" t="n">
        <v>0.0243</v>
      </c>
      <c r="U39" s="2" t="n">
        <v>0.1525</v>
      </c>
      <c r="V39" s="2" t="n">
        <v>0.0942</v>
      </c>
      <c r="W39" s="2" t="n">
        <v>0.0014</v>
      </c>
      <c r="X39" s="2" t="n">
        <v>0.0915</v>
      </c>
      <c r="Y39" s="2" t="n">
        <v>0.1168</v>
      </c>
      <c r="Z39" s="2" t="n">
        <v>0.0549</v>
      </c>
      <c r="AA39" s="2" t="n">
        <v>0.0056</v>
      </c>
      <c r="AB39" s="2" t="n">
        <v>0.0026</v>
      </c>
      <c r="AC39" s="2" t="n">
        <v>49.2730210016155</v>
      </c>
      <c r="AD39" s="2" t="n">
        <v>0.68025626092021</v>
      </c>
      <c r="AE39" s="2" t="n">
        <v>0.250575090371344</v>
      </c>
      <c r="AF39" s="2" t="n">
        <v>0.765901639344262</v>
      </c>
      <c r="AG39" s="2" t="n">
        <v>0.20802721</v>
      </c>
      <c r="AH39" s="2" t="n">
        <v>0.01108323</v>
      </c>
      <c r="AI39" s="3" t="b">
        <f aca="false">TRUE()</f>
        <v>1</v>
      </c>
      <c r="AJ39" s="2" t="n">
        <v>0.944</v>
      </c>
      <c r="AK39" s="2" t="s">
        <v>57</v>
      </c>
      <c r="AL39" s="2" t="n">
        <v>1203</v>
      </c>
      <c r="AM39" s="2" t="n">
        <v>2.08</v>
      </c>
      <c r="AN39" s="2" t="n">
        <v>7.18198208</v>
      </c>
      <c r="AO39" s="2" t="n">
        <v>500</v>
      </c>
      <c r="AP39" s="2" t="n">
        <v>1.89932</v>
      </c>
      <c r="AQ39" s="2" t="n">
        <v>0.202869044702727</v>
      </c>
      <c r="AR39" s="2" t="n">
        <v>1.48475</v>
      </c>
      <c r="AS39" s="2" t="n">
        <v>1.9</v>
      </c>
      <c r="AT39" s="2" t="n">
        <v>2.31525</v>
      </c>
      <c r="AU39" s="2" t="n">
        <v>1225.948</v>
      </c>
      <c r="AV39" s="2" t="n">
        <v>3.81659912195602</v>
      </c>
      <c r="AW39" s="2" t="n">
        <v>1218.475</v>
      </c>
      <c r="AX39" s="2" t="n">
        <v>1226</v>
      </c>
      <c r="AY39" s="2" t="n">
        <v>1234</v>
      </c>
      <c r="AZ39" s="2" t="n">
        <v>1.45475276835625</v>
      </c>
      <c r="BA39" s="2" t="n">
        <v>1.45475276835625</v>
      </c>
    </row>
    <row r="40" customFormat="false" ht="15" hidden="false" customHeight="false" outlineLevel="0" collapsed="false">
      <c r="A40" s="2" t="s">
        <v>133</v>
      </c>
      <c r="B40" s="2" t="n">
        <v>2009</v>
      </c>
      <c r="C40" s="2" t="s">
        <v>54</v>
      </c>
      <c r="D40" s="2" t="s">
        <v>55</v>
      </c>
      <c r="E40" s="2" t="n">
        <v>56</v>
      </c>
      <c r="F40" s="2" t="s">
        <v>134</v>
      </c>
      <c r="G40" s="2" t="n">
        <v>48.9</v>
      </c>
      <c r="H40" s="2" t="n">
        <v>3.35</v>
      </c>
      <c r="I40" s="2" t="n">
        <v>13.98</v>
      </c>
      <c r="J40" s="2" t="n">
        <v>11.71</v>
      </c>
      <c r="K40" s="2" t="n">
        <v>0.17</v>
      </c>
      <c r="L40" s="2" t="n">
        <v>6.56</v>
      </c>
      <c r="M40" s="2" t="n">
        <v>11.81</v>
      </c>
      <c r="N40" s="2" t="n">
        <v>2.82</v>
      </c>
      <c r="O40" s="2" t="n">
        <v>0.43</v>
      </c>
      <c r="P40" s="2" t="n">
        <v>0.28</v>
      </c>
      <c r="Q40" s="2" t="n">
        <v>0.01</v>
      </c>
      <c r="R40" s="2" t="n">
        <v>97.92</v>
      </c>
      <c r="S40" s="2" t="n">
        <v>0.4591</v>
      </c>
      <c r="T40" s="2" t="n">
        <v>0.0237</v>
      </c>
      <c r="U40" s="2" t="n">
        <v>0.1547</v>
      </c>
      <c r="V40" s="2" t="n">
        <v>0.092</v>
      </c>
      <c r="W40" s="2" t="n">
        <v>0.0014</v>
      </c>
      <c r="X40" s="2" t="n">
        <v>0.0918</v>
      </c>
      <c r="Y40" s="2" t="n">
        <v>0.1188</v>
      </c>
      <c r="Z40" s="2" t="n">
        <v>0.0513</v>
      </c>
      <c r="AA40" s="2" t="n">
        <v>0.0051</v>
      </c>
      <c r="AB40" s="2" t="n">
        <v>0.0022</v>
      </c>
      <c r="AC40" s="2" t="n">
        <v>49.9455930359086</v>
      </c>
      <c r="AD40" s="2" t="n">
        <v>0.698412698412698</v>
      </c>
      <c r="AE40" s="2" t="n">
        <v>0.252036493971978</v>
      </c>
      <c r="AF40" s="2" t="n">
        <v>0.767937944408533</v>
      </c>
      <c r="AG40" s="2" t="n">
        <v>0.21077281</v>
      </c>
      <c r="AH40" s="2" t="n">
        <v>0.01088067</v>
      </c>
      <c r="AI40" s="3" t="b">
        <f aca="false">TRUE()</f>
        <v>1</v>
      </c>
      <c r="AJ40" s="2" t="n">
        <v>0.945</v>
      </c>
      <c r="AK40" s="2" t="s">
        <v>57</v>
      </c>
      <c r="AL40" s="2" t="n">
        <v>1200</v>
      </c>
      <c r="AM40" s="2" t="n">
        <v>1.74</v>
      </c>
      <c r="AN40" s="2" t="n">
        <v>6.02592972</v>
      </c>
      <c r="AO40" s="2" t="n">
        <v>500</v>
      </c>
      <c r="AP40" s="2" t="n">
        <v>1.57902</v>
      </c>
      <c r="AQ40" s="2" t="n">
        <v>0.2099499883191</v>
      </c>
      <c r="AR40" s="2" t="n">
        <v>1.14475</v>
      </c>
      <c r="AS40" s="2" t="n">
        <v>1.58</v>
      </c>
      <c r="AT40" s="2" t="n">
        <v>1.99</v>
      </c>
      <c r="AU40" s="2" t="n">
        <v>1219.71</v>
      </c>
      <c r="AV40" s="2" t="n">
        <v>3.77868454807062</v>
      </c>
      <c r="AW40" s="2" t="n">
        <v>1213</v>
      </c>
      <c r="AX40" s="2" t="n">
        <v>1220</v>
      </c>
      <c r="AY40" s="2" t="n">
        <v>1227.525</v>
      </c>
      <c r="AZ40" s="2" t="n">
        <v>1.52455536535625</v>
      </c>
      <c r="BA40" s="2" t="n">
        <v>1.43642557</v>
      </c>
    </row>
    <row r="41" customFormat="false" ht="15" hidden="false" customHeight="false" outlineLevel="0" collapsed="false">
      <c r="A41" s="2" t="s">
        <v>135</v>
      </c>
      <c r="B41" s="2" t="n">
        <v>2009</v>
      </c>
      <c r="C41" s="2" t="s">
        <v>136</v>
      </c>
      <c r="D41" s="2" t="s">
        <v>55</v>
      </c>
      <c r="E41" s="2" t="n">
        <v>57</v>
      </c>
      <c r="F41" s="2" t="s">
        <v>137</v>
      </c>
      <c r="G41" s="2" t="n">
        <v>48.41</v>
      </c>
      <c r="H41" s="2" t="n">
        <v>3.45</v>
      </c>
      <c r="I41" s="2" t="n">
        <v>13.74</v>
      </c>
      <c r="J41" s="2" t="n">
        <v>12.08</v>
      </c>
      <c r="K41" s="2" t="n">
        <v>0.22</v>
      </c>
      <c r="L41" s="2" t="n">
        <v>6.76</v>
      </c>
      <c r="M41" s="2" t="n">
        <v>11.48</v>
      </c>
      <c r="N41" s="2" t="n">
        <v>3.04</v>
      </c>
      <c r="O41" s="2" t="n">
        <v>0.48</v>
      </c>
      <c r="P41" s="2" t="n">
        <v>0.35</v>
      </c>
      <c r="Q41" s="2" t="n">
        <v>0</v>
      </c>
      <c r="R41" s="2" t="n">
        <v>98.37</v>
      </c>
      <c r="S41" s="2" t="n">
        <v>0.4539</v>
      </c>
      <c r="T41" s="2" t="n">
        <v>0.0243</v>
      </c>
      <c r="U41" s="2" t="n">
        <v>0.1518</v>
      </c>
      <c r="V41" s="2" t="n">
        <v>0.0947</v>
      </c>
      <c r="W41" s="2" t="n">
        <v>0.0018</v>
      </c>
      <c r="X41" s="2" t="n">
        <v>0.0945</v>
      </c>
      <c r="Y41" s="2" t="n">
        <v>0.1153</v>
      </c>
      <c r="Z41" s="2" t="n">
        <v>0.0552</v>
      </c>
      <c r="AA41" s="2" t="n">
        <v>0.0057</v>
      </c>
      <c r="AB41" s="2" t="n">
        <v>0.0027</v>
      </c>
      <c r="AC41" s="2" t="n">
        <v>49.9471458773784</v>
      </c>
      <c r="AD41" s="2" t="n">
        <v>0.67624633431085</v>
      </c>
      <c r="AE41" s="2" t="n">
        <v>0.250619118375433</v>
      </c>
      <c r="AF41" s="2" t="n">
        <v>0.759552042160738</v>
      </c>
      <c r="AG41" s="2" t="n">
        <v>0.20602521</v>
      </c>
      <c r="AH41" s="2" t="n">
        <v>0.01102977</v>
      </c>
      <c r="AI41" s="3" t="b">
        <f aca="false">TRUE()</f>
        <v>1</v>
      </c>
      <c r="AJ41" s="2" t="n">
        <v>0.941</v>
      </c>
      <c r="AK41" s="2" t="s">
        <v>57</v>
      </c>
      <c r="AL41" s="2" t="n">
        <v>1210</v>
      </c>
      <c r="AM41" s="2" t="n">
        <v>2.84</v>
      </c>
      <c r="AN41" s="2" t="n">
        <v>9.74076832</v>
      </c>
      <c r="AO41" s="2" t="n">
        <v>500</v>
      </c>
      <c r="AP41" s="2" t="n">
        <v>2.60674</v>
      </c>
      <c r="AQ41" s="2" t="n">
        <v>0.216846529219328</v>
      </c>
      <c r="AR41" s="2" t="n">
        <v>2.20475</v>
      </c>
      <c r="AS41" s="2" t="n">
        <v>2.61</v>
      </c>
      <c r="AT41" s="2" t="n">
        <v>3.05</v>
      </c>
      <c r="AU41" s="2" t="n">
        <v>1235.544</v>
      </c>
      <c r="AV41" s="2" t="n">
        <v>3.7142503026346</v>
      </c>
      <c r="AW41" s="2" t="n">
        <v>1228</v>
      </c>
      <c r="AX41" s="2" t="n">
        <v>1235</v>
      </c>
      <c r="AY41" s="2" t="n">
        <v>1243</v>
      </c>
      <c r="AZ41" s="2" t="n">
        <v>1.41984237985625</v>
      </c>
      <c r="BA41" s="2" t="n">
        <v>1.54112992</v>
      </c>
    </row>
    <row r="42" customFormat="false" ht="15" hidden="false" customHeight="false" outlineLevel="0" collapsed="false">
      <c r="A42" s="2" t="s">
        <v>138</v>
      </c>
      <c r="B42" s="2" t="n">
        <v>2009</v>
      </c>
      <c r="C42" s="2" t="s">
        <v>136</v>
      </c>
      <c r="D42" s="2" t="s">
        <v>55</v>
      </c>
      <c r="E42" s="2" t="n">
        <v>58</v>
      </c>
      <c r="F42" s="2" t="s">
        <v>139</v>
      </c>
      <c r="G42" s="2" t="n">
        <v>48.66</v>
      </c>
      <c r="H42" s="2" t="n">
        <v>3.4</v>
      </c>
      <c r="I42" s="2" t="n">
        <v>13.78</v>
      </c>
      <c r="J42" s="2" t="n">
        <v>11.71</v>
      </c>
      <c r="K42" s="2" t="n">
        <v>0.17</v>
      </c>
      <c r="L42" s="2" t="n">
        <v>6.75</v>
      </c>
      <c r="M42" s="2" t="n">
        <v>11.78</v>
      </c>
      <c r="N42" s="2" t="n">
        <v>3.02</v>
      </c>
      <c r="O42" s="2" t="n">
        <v>0.46</v>
      </c>
      <c r="P42" s="2" t="n">
        <v>0.26</v>
      </c>
      <c r="Q42" s="2" t="n">
        <v>0</v>
      </c>
      <c r="R42" s="2" t="n">
        <v>98.35</v>
      </c>
      <c r="S42" s="2" t="n">
        <v>0.4559</v>
      </c>
      <c r="T42" s="2" t="n">
        <v>0.0239</v>
      </c>
      <c r="U42" s="2" t="n">
        <v>0.1521</v>
      </c>
      <c r="V42" s="2" t="n">
        <v>0.0918</v>
      </c>
      <c r="W42" s="2" t="n">
        <v>0.0014</v>
      </c>
      <c r="X42" s="2" t="n">
        <v>0.0943</v>
      </c>
      <c r="Y42" s="2" t="n">
        <v>0.1183</v>
      </c>
      <c r="Z42" s="2" t="n">
        <v>0.0548</v>
      </c>
      <c r="AA42" s="2" t="n">
        <v>0.0055</v>
      </c>
      <c r="AB42" s="2" t="n">
        <v>0.0021</v>
      </c>
      <c r="AC42" s="2" t="n">
        <v>50.6716818914562</v>
      </c>
      <c r="AD42" s="2" t="n">
        <v>0.683419988445985</v>
      </c>
      <c r="AE42" s="2" t="n">
        <v>0.250164473684211</v>
      </c>
      <c r="AF42" s="2" t="n">
        <v>0.777777777777778</v>
      </c>
      <c r="AG42" s="2" t="n">
        <v>0.20784481</v>
      </c>
      <c r="AH42" s="2" t="n">
        <v>0.01089601</v>
      </c>
      <c r="AI42" s="3" t="b">
        <f aca="false">TRUE()</f>
        <v>1</v>
      </c>
      <c r="AJ42" s="2" t="n">
        <v>0.941</v>
      </c>
      <c r="AK42" s="2" t="s">
        <v>57</v>
      </c>
      <c r="AL42" s="2" t="n">
        <v>1217</v>
      </c>
      <c r="AM42" s="2" t="n">
        <v>2.1</v>
      </c>
      <c r="AN42" s="2" t="n">
        <v>7.249767</v>
      </c>
      <c r="AO42" s="2" t="n">
        <v>500</v>
      </c>
      <c r="AP42" s="2" t="n">
        <v>1.9518</v>
      </c>
      <c r="AQ42" s="2" t="n">
        <v>0.21906789240545</v>
      </c>
      <c r="AR42" s="2" t="n">
        <v>1.54475</v>
      </c>
      <c r="AS42" s="2" t="n">
        <v>1.94</v>
      </c>
      <c r="AT42" s="2" t="n">
        <v>2.39</v>
      </c>
      <c r="AU42" s="2" t="n">
        <v>1236.032</v>
      </c>
      <c r="AV42" s="2" t="n">
        <v>3.54062820643348</v>
      </c>
      <c r="AW42" s="2" t="n">
        <v>1229</v>
      </c>
      <c r="AX42" s="2" t="n">
        <v>1236</v>
      </c>
      <c r="AY42" s="2" t="n">
        <v>1243</v>
      </c>
      <c r="AZ42" s="2" t="n">
        <v>1.38492593135625</v>
      </c>
      <c r="BA42" s="2" t="n">
        <v>1.57601925</v>
      </c>
    </row>
    <row r="43" customFormat="false" ht="15" hidden="false" customHeight="false" outlineLevel="0" collapsed="false">
      <c r="A43" s="2" t="s">
        <v>140</v>
      </c>
      <c r="B43" s="2" t="n">
        <v>2009</v>
      </c>
      <c r="C43" s="2" t="s">
        <v>136</v>
      </c>
      <c r="D43" s="2" t="s">
        <v>55</v>
      </c>
      <c r="E43" s="2" t="n">
        <v>59</v>
      </c>
      <c r="F43" s="2" t="s">
        <v>141</v>
      </c>
      <c r="G43" s="2" t="n">
        <v>48.81</v>
      </c>
      <c r="H43" s="2" t="n">
        <v>3.47</v>
      </c>
      <c r="I43" s="2" t="n">
        <v>13.82</v>
      </c>
      <c r="J43" s="2" t="n">
        <v>11.9</v>
      </c>
      <c r="K43" s="2" t="n">
        <v>0.15</v>
      </c>
      <c r="L43" s="2" t="n">
        <v>6.5</v>
      </c>
      <c r="M43" s="2" t="n">
        <v>11.68</v>
      </c>
      <c r="N43" s="2" t="n">
        <v>2.97</v>
      </c>
      <c r="O43" s="2" t="n">
        <v>0.45</v>
      </c>
      <c r="P43" s="2" t="n">
        <v>0.25</v>
      </c>
      <c r="Q43" s="2" t="n">
        <v>0.02</v>
      </c>
      <c r="R43" s="2" t="n">
        <v>98.07</v>
      </c>
      <c r="S43" s="2" t="n">
        <v>0.4582</v>
      </c>
      <c r="T43" s="2" t="n">
        <v>0.0245</v>
      </c>
      <c r="U43" s="2" t="n">
        <v>0.1529</v>
      </c>
      <c r="V43" s="2" t="n">
        <v>0.0934</v>
      </c>
      <c r="W43" s="2" t="n">
        <v>0.0012</v>
      </c>
      <c r="X43" s="2" t="n">
        <v>0.0909</v>
      </c>
      <c r="Y43" s="2" t="n">
        <v>0.1175</v>
      </c>
      <c r="Z43" s="2" t="n">
        <v>0.054</v>
      </c>
      <c r="AA43" s="2" t="n">
        <v>0.0054</v>
      </c>
      <c r="AB43" s="2" t="n">
        <v>0.002</v>
      </c>
      <c r="AC43" s="2" t="n">
        <v>49.3217580032556</v>
      </c>
      <c r="AD43" s="2" t="n">
        <v>0.685131195335277</v>
      </c>
      <c r="AE43" s="2" t="n">
        <v>0.250204549173621</v>
      </c>
      <c r="AF43" s="2" t="n">
        <v>0.768476128188358</v>
      </c>
      <c r="AG43" s="2" t="n">
        <v>0.20994724</v>
      </c>
      <c r="AH43" s="2" t="n">
        <v>0.0112259</v>
      </c>
      <c r="AI43" s="3" t="b">
        <f aca="false">TRUE()</f>
        <v>1</v>
      </c>
      <c r="AJ43" s="2" t="n">
        <v>0.945</v>
      </c>
      <c r="AK43" s="2" t="s">
        <v>57</v>
      </c>
      <c r="AL43" s="2" t="n">
        <v>1206</v>
      </c>
      <c r="AM43" s="2" t="n">
        <v>1.77</v>
      </c>
      <c r="AN43" s="2" t="n">
        <v>6.12821613</v>
      </c>
      <c r="AO43" s="2" t="n">
        <v>500</v>
      </c>
      <c r="AP43" s="2" t="n">
        <v>1.63294</v>
      </c>
      <c r="AQ43" s="2" t="n">
        <v>0.203411673750638</v>
      </c>
      <c r="AR43" s="2" t="n">
        <v>1.23</v>
      </c>
      <c r="AS43" s="2" t="n">
        <v>1.64</v>
      </c>
      <c r="AT43" s="2" t="n">
        <v>2</v>
      </c>
      <c r="AU43" s="2" t="n">
        <v>1224.008</v>
      </c>
      <c r="AV43" s="2" t="n">
        <v>3.76886517261878</v>
      </c>
      <c r="AW43" s="2" t="n">
        <v>1217</v>
      </c>
      <c r="AX43" s="2" t="n">
        <v>1224</v>
      </c>
      <c r="AY43" s="2" t="n">
        <v>1232</v>
      </c>
      <c r="AZ43" s="2" t="n">
        <v>1.43642557</v>
      </c>
      <c r="BA43" s="2" t="n">
        <v>1.26179712</v>
      </c>
    </row>
    <row r="44" customFormat="false" ht="15" hidden="false" customHeight="false" outlineLevel="0" collapsed="false">
      <c r="A44" s="2" t="s">
        <v>142</v>
      </c>
      <c r="B44" s="2" t="n">
        <v>2009</v>
      </c>
      <c r="C44" s="2" t="s">
        <v>136</v>
      </c>
      <c r="D44" s="2" t="s">
        <v>55</v>
      </c>
      <c r="E44" s="2" t="n">
        <v>60</v>
      </c>
      <c r="F44" s="2" t="s">
        <v>143</v>
      </c>
      <c r="G44" s="2" t="n">
        <v>48.62</v>
      </c>
      <c r="H44" s="2" t="n">
        <v>3.46</v>
      </c>
      <c r="I44" s="2" t="n">
        <v>13.76</v>
      </c>
      <c r="J44" s="2" t="n">
        <v>11.97</v>
      </c>
      <c r="K44" s="2" t="n">
        <v>0.17</v>
      </c>
      <c r="L44" s="2" t="n">
        <v>6.63</v>
      </c>
      <c r="M44" s="2" t="n">
        <v>11.57</v>
      </c>
      <c r="N44" s="2" t="n">
        <v>3.04</v>
      </c>
      <c r="O44" s="2" t="n">
        <v>0.48</v>
      </c>
      <c r="P44" s="2" t="n">
        <v>0.3</v>
      </c>
      <c r="Q44" s="2" t="n">
        <v>0.02</v>
      </c>
      <c r="R44" s="2" t="n">
        <v>98.79</v>
      </c>
      <c r="S44" s="2" t="n">
        <v>0.456</v>
      </c>
      <c r="T44" s="2" t="n">
        <v>0.0244</v>
      </c>
      <c r="U44" s="2" t="n">
        <v>0.1521</v>
      </c>
      <c r="V44" s="2" t="n">
        <v>0.0939</v>
      </c>
      <c r="W44" s="2" t="n">
        <v>0.0014</v>
      </c>
      <c r="X44" s="2" t="n">
        <v>0.0927</v>
      </c>
      <c r="Y44" s="2" t="n">
        <v>0.1163</v>
      </c>
      <c r="Z44" s="2" t="n">
        <v>0.0552</v>
      </c>
      <c r="AA44" s="2" t="n">
        <v>0.0057</v>
      </c>
      <c r="AB44" s="2" t="n">
        <v>0.0024</v>
      </c>
      <c r="AC44" s="2" t="n">
        <v>49.6784565916399</v>
      </c>
      <c r="AD44" s="2" t="n">
        <v>0.678134110787172</v>
      </c>
      <c r="AE44" s="2" t="n">
        <v>0.2501233349778</v>
      </c>
      <c r="AF44" s="2" t="n">
        <v>0.764628533859303</v>
      </c>
      <c r="AG44" s="2" t="n">
        <v>0.207936</v>
      </c>
      <c r="AH44" s="2" t="n">
        <v>0.0111264</v>
      </c>
      <c r="AI44" s="3" t="b">
        <f aca="false">TRUE()</f>
        <v>1</v>
      </c>
      <c r="AJ44" s="2" t="n">
        <v>0.942</v>
      </c>
      <c r="AK44" s="2" t="s">
        <v>57</v>
      </c>
      <c r="AL44" s="2" t="n">
        <v>1210</v>
      </c>
      <c r="AM44" s="2" t="n">
        <v>2.29</v>
      </c>
      <c r="AN44" s="2" t="n">
        <v>7.89251477</v>
      </c>
      <c r="AO44" s="2" t="n">
        <v>500</v>
      </c>
      <c r="AP44" s="2" t="n">
        <v>2.10136</v>
      </c>
      <c r="AQ44" s="2" t="n">
        <v>0.203635668218369</v>
      </c>
      <c r="AR44" s="2" t="n">
        <v>1.71475</v>
      </c>
      <c r="AS44" s="2" t="n">
        <v>2.11</v>
      </c>
      <c r="AT44" s="2" t="n">
        <v>2.5</v>
      </c>
      <c r="AU44" s="2" t="n">
        <v>1231.07</v>
      </c>
      <c r="AV44" s="2" t="n">
        <v>3.65071986203023</v>
      </c>
      <c r="AW44" s="2" t="n">
        <v>1224</v>
      </c>
      <c r="AX44" s="2" t="n">
        <v>1231</v>
      </c>
      <c r="AY44" s="2" t="n">
        <v>1238</v>
      </c>
      <c r="AZ44" s="2" t="n">
        <v>1.38492593135625</v>
      </c>
      <c r="BA44" s="2" t="n">
        <v>1.36659237</v>
      </c>
    </row>
    <row r="45" customFormat="false" ht="15" hidden="false" customHeight="false" outlineLevel="0" collapsed="false">
      <c r="A45" s="2" t="s">
        <v>144</v>
      </c>
      <c r="B45" s="2" t="n">
        <v>2009</v>
      </c>
      <c r="C45" s="2" t="s">
        <v>136</v>
      </c>
      <c r="D45" s="2" t="s">
        <v>55</v>
      </c>
      <c r="E45" s="2" t="n">
        <v>61</v>
      </c>
      <c r="F45" s="2" t="s">
        <v>145</v>
      </c>
      <c r="G45" s="2" t="n">
        <v>48.74</v>
      </c>
      <c r="H45" s="2" t="n">
        <v>3.4</v>
      </c>
      <c r="I45" s="2" t="n">
        <v>13.93</v>
      </c>
      <c r="J45" s="2" t="n">
        <v>11.98</v>
      </c>
      <c r="K45" s="2" t="n">
        <v>0.18</v>
      </c>
      <c r="L45" s="2" t="n">
        <v>6.59</v>
      </c>
      <c r="M45" s="2" t="n">
        <v>11.69</v>
      </c>
      <c r="N45" s="2" t="n">
        <v>2.77</v>
      </c>
      <c r="O45" s="2" t="n">
        <v>0.43</v>
      </c>
      <c r="P45" s="2" t="n">
        <v>0.29</v>
      </c>
      <c r="Q45" s="2" t="n">
        <v>0.02</v>
      </c>
      <c r="R45" s="2" t="n">
        <v>98.56</v>
      </c>
      <c r="S45" s="2" t="n">
        <v>0.4581</v>
      </c>
      <c r="T45" s="2" t="n">
        <v>0.024</v>
      </c>
      <c r="U45" s="2" t="n">
        <v>0.1543</v>
      </c>
      <c r="V45" s="2" t="n">
        <v>0.0941</v>
      </c>
      <c r="W45" s="2" t="n">
        <v>0.0015</v>
      </c>
      <c r="X45" s="2" t="n">
        <v>0.0923</v>
      </c>
      <c r="Y45" s="2" t="n">
        <v>0.1177</v>
      </c>
      <c r="Z45" s="2" t="n">
        <v>0.0505</v>
      </c>
      <c r="AA45" s="2" t="n">
        <v>0.0051</v>
      </c>
      <c r="AB45" s="2" t="n">
        <v>0.0023</v>
      </c>
      <c r="AC45" s="2" t="n">
        <v>49.5171673819742</v>
      </c>
      <c r="AD45" s="2" t="n">
        <v>0.699762187871581</v>
      </c>
      <c r="AE45" s="2" t="n">
        <v>0.251959503592423</v>
      </c>
      <c r="AF45" s="2" t="n">
        <v>0.762799740764744</v>
      </c>
      <c r="AG45" s="2" t="n">
        <v>0.20985561</v>
      </c>
      <c r="AH45" s="2" t="n">
        <v>0.0109944</v>
      </c>
      <c r="AI45" s="3" t="b">
        <f aca="false">TRUE()</f>
        <v>1</v>
      </c>
      <c r="AJ45" s="2" t="n">
        <v>0.947</v>
      </c>
      <c r="AK45" s="2" t="s">
        <v>57</v>
      </c>
      <c r="AL45" s="2" t="n">
        <v>1199</v>
      </c>
      <c r="AM45" s="2" t="n">
        <v>2.11</v>
      </c>
      <c r="AN45" s="2" t="n">
        <v>7.28365037</v>
      </c>
      <c r="AO45" s="2" t="n">
        <v>500</v>
      </c>
      <c r="AP45" s="2" t="n">
        <v>1.92986</v>
      </c>
      <c r="AQ45" s="2" t="n">
        <v>0.229021138246073</v>
      </c>
      <c r="AR45" s="2" t="n">
        <v>1.48475</v>
      </c>
      <c r="AS45" s="2" t="n">
        <v>1.93</v>
      </c>
      <c r="AT45" s="2" t="n">
        <v>2.39525</v>
      </c>
      <c r="AU45" s="2" t="n">
        <v>1221.266</v>
      </c>
      <c r="AV45" s="2" t="n">
        <v>3.8855422887617</v>
      </c>
      <c r="AW45" s="2" t="n">
        <v>1214</v>
      </c>
      <c r="AX45" s="2" t="n">
        <v>1221</v>
      </c>
      <c r="AY45" s="2" t="n">
        <v>1229</v>
      </c>
      <c r="AZ45" s="2" t="n">
        <v>1.55944757385625</v>
      </c>
      <c r="BA45" s="2" t="n">
        <v>1.62921381085625</v>
      </c>
    </row>
    <row r="46" customFormat="false" ht="15" hidden="false" customHeight="false" outlineLevel="0" collapsed="false">
      <c r="A46" s="2" t="s">
        <v>146</v>
      </c>
      <c r="B46" s="2" t="n">
        <v>2009</v>
      </c>
      <c r="C46" s="2" t="s">
        <v>136</v>
      </c>
      <c r="D46" s="2" t="s">
        <v>55</v>
      </c>
      <c r="E46" s="2" t="n">
        <v>62</v>
      </c>
      <c r="F46" s="2" t="s">
        <v>147</v>
      </c>
      <c r="G46" s="2" t="n">
        <v>48.66</v>
      </c>
      <c r="H46" s="2" t="n">
        <v>3.44</v>
      </c>
      <c r="I46" s="2" t="n">
        <v>13.89</v>
      </c>
      <c r="J46" s="2" t="n">
        <v>11.74</v>
      </c>
      <c r="K46" s="2" t="n">
        <v>0.17</v>
      </c>
      <c r="L46" s="2" t="n">
        <v>6.72</v>
      </c>
      <c r="M46" s="2" t="n">
        <v>11.7</v>
      </c>
      <c r="N46" s="2" t="n">
        <v>3</v>
      </c>
      <c r="O46" s="2" t="n">
        <v>0.44</v>
      </c>
      <c r="P46" s="2" t="n">
        <v>0.24</v>
      </c>
      <c r="Q46" s="2" t="n">
        <v>0.03</v>
      </c>
      <c r="R46" s="2" t="n">
        <v>98.08</v>
      </c>
      <c r="S46" s="2" t="n">
        <v>0.456</v>
      </c>
      <c r="T46" s="2" t="n">
        <v>0.0242</v>
      </c>
      <c r="U46" s="2" t="n">
        <v>0.1534</v>
      </c>
      <c r="V46" s="2" t="n">
        <v>0.092</v>
      </c>
      <c r="W46" s="2" t="n">
        <v>0.0014</v>
      </c>
      <c r="X46" s="2" t="n">
        <v>0.0939</v>
      </c>
      <c r="Y46" s="2" t="n">
        <v>0.1174</v>
      </c>
      <c r="Z46" s="2" t="n">
        <v>0.0545</v>
      </c>
      <c r="AA46" s="2" t="n">
        <v>0.0052</v>
      </c>
      <c r="AB46" s="2" t="n">
        <v>0.0019</v>
      </c>
      <c r="AC46" s="2" t="n">
        <v>50.5110274341043</v>
      </c>
      <c r="AD46" s="2" t="n">
        <v>0.682955206515416</v>
      </c>
      <c r="AE46" s="2" t="n">
        <v>0.251723006235642</v>
      </c>
      <c r="AF46" s="2" t="n">
        <v>0.765319426336376</v>
      </c>
      <c r="AG46" s="2" t="n">
        <v>0.207936</v>
      </c>
      <c r="AH46" s="2" t="n">
        <v>0.0110352</v>
      </c>
      <c r="AI46" s="3" t="b">
        <f aca="false">TRUE()</f>
        <v>1</v>
      </c>
      <c r="AJ46" s="2" t="n">
        <v>0.943</v>
      </c>
      <c r="AK46" s="2" t="s">
        <v>57</v>
      </c>
      <c r="AL46" s="2" t="n">
        <v>1212</v>
      </c>
      <c r="AM46" s="2" t="n">
        <v>2.28</v>
      </c>
      <c r="AN46" s="2" t="n">
        <v>7.85874048</v>
      </c>
      <c r="AO46" s="2" t="n">
        <v>500</v>
      </c>
      <c r="AP46" s="2" t="n">
        <v>2.12802</v>
      </c>
      <c r="AQ46" s="2" t="n">
        <v>0.223315963691086</v>
      </c>
      <c r="AR46" s="2" t="n">
        <v>1.7</v>
      </c>
      <c r="AS46" s="2" t="n">
        <v>2.125</v>
      </c>
      <c r="AT46" s="2" t="n">
        <v>2.59</v>
      </c>
      <c r="AU46" s="2" t="n">
        <v>1231.44</v>
      </c>
      <c r="AV46" s="2" t="n">
        <v>3.52238760343857</v>
      </c>
      <c r="AW46" s="2" t="n">
        <v>1225</v>
      </c>
      <c r="AX46" s="2" t="n">
        <v>1231</v>
      </c>
      <c r="AY46" s="2" t="n">
        <v>1238</v>
      </c>
      <c r="AZ46" s="2" t="n">
        <v>1.4887845625</v>
      </c>
      <c r="BA46" s="2" t="n">
        <v>1.6283418825</v>
      </c>
    </row>
    <row r="47" customFormat="false" ht="15" hidden="false" customHeight="false" outlineLevel="0" collapsed="false">
      <c r="A47" s="2" t="s">
        <v>148</v>
      </c>
      <c r="B47" s="2" t="n">
        <v>2009</v>
      </c>
      <c r="C47" s="2" t="s">
        <v>136</v>
      </c>
      <c r="D47" s="2" t="s">
        <v>55</v>
      </c>
      <c r="E47" s="2" t="n">
        <v>63</v>
      </c>
      <c r="F47" s="2" t="s">
        <v>149</v>
      </c>
      <c r="G47" s="2" t="n">
        <v>48.49</v>
      </c>
      <c r="H47" s="2" t="n">
        <v>3.46</v>
      </c>
      <c r="I47" s="2" t="n">
        <v>13.85</v>
      </c>
      <c r="J47" s="2" t="n">
        <v>11.96</v>
      </c>
      <c r="K47" s="2" t="n">
        <v>0.16</v>
      </c>
      <c r="L47" s="2" t="n">
        <v>6.7</v>
      </c>
      <c r="M47" s="2" t="n">
        <v>11.77</v>
      </c>
      <c r="N47" s="2" t="n">
        <v>2.92</v>
      </c>
      <c r="O47" s="2" t="n">
        <v>0.43</v>
      </c>
      <c r="P47" s="2" t="n">
        <v>0.26</v>
      </c>
      <c r="Q47" s="2" t="n">
        <v>0.04</v>
      </c>
      <c r="R47" s="2" t="n">
        <v>97.99</v>
      </c>
      <c r="S47" s="2" t="n">
        <v>0.455</v>
      </c>
      <c r="T47" s="2" t="n">
        <v>0.0244</v>
      </c>
      <c r="U47" s="2" t="n">
        <v>0.1532</v>
      </c>
      <c r="V47" s="2" t="n">
        <v>0.0938</v>
      </c>
      <c r="W47" s="2" t="n">
        <v>0.0013</v>
      </c>
      <c r="X47" s="2" t="n">
        <v>0.0937</v>
      </c>
      <c r="Y47" s="2" t="n">
        <v>0.1183</v>
      </c>
      <c r="Z47" s="2" t="n">
        <v>0.0531</v>
      </c>
      <c r="AA47" s="2" t="n">
        <v>0.0051</v>
      </c>
      <c r="AB47" s="2" t="n">
        <v>0.002</v>
      </c>
      <c r="AC47" s="2" t="n">
        <v>49.9733333333333</v>
      </c>
      <c r="AD47" s="2" t="n">
        <v>0.690198366394399</v>
      </c>
      <c r="AE47" s="2" t="n">
        <v>0.251890825386386</v>
      </c>
      <c r="AF47" s="2" t="n">
        <v>0.772193211488251</v>
      </c>
      <c r="AG47" s="2" t="n">
        <v>0.207025</v>
      </c>
      <c r="AH47" s="2" t="n">
        <v>0.011102</v>
      </c>
      <c r="AI47" s="3" t="b">
        <f aca="false">TRUE()</f>
        <v>1</v>
      </c>
      <c r="AJ47" s="2" t="n">
        <v>0.945</v>
      </c>
      <c r="AK47" s="2" t="s">
        <v>57</v>
      </c>
      <c r="AL47" s="2" t="n">
        <v>1212</v>
      </c>
      <c r="AM47" s="2" t="n">
        <v>2.24</v>
      </c>
      <c r="AN47" s="2" t="n">
        <v>7.72358272</v>
      </c>
      <c r="AO47" s="2" t="n">
        <v>500</v>
      </c>
      <c r="AP47" s="2" t="n">
        <v>2.08284</v>
      </c>
      <c r="AQ47" s="2" t="n">
        <v>0.217098590497479</v>
      </c>
      <c r="AR47" s="2" t="n">
        <v>1.66475</v>
      </c>
      <c r="AS47" s="2" t="n">
        <v>2.09</v>
      </c>
      <c r="AT47" s="2" t="n">
        <v>2.52525</v>
      </c>
      <c r="AU47" s="2" t="n">
        <v>1231.64</v>
      </c>
      <c r="AV47" s="2" t="n">
        <v>3.68422951160597</v>
      </c>
      <c r="AW47" s="2" t="n">
        <v>1224</v>
      </c>
      <c r="AX47" s="2" t="n">
        <v>1232</v>
      </c>
      <c r="AY47" s="2" t="n">
        <v>1239</v>
      </c>
      <c r="AZ47" s="2" t="n">
        <v>1.48965709685625</v>
      </c>
      <c r="BA47" s="2" t="n">
        <v>1.52455536535625</v>
      </c>
    </row>
    <row r="48" customFormat="false" ht="15" hidden="false" customHeight="false" outlineLevel="0" collapsed="false">
      <c r="A48" s="2" t="s">
        <v>150</v>
      </c>
      <c r="B48" s="2" t="n">
        <v>2009</v>
      </c>
      <c r="C48" s="2" t="s">
        <v>136</v>
      </c>
      <c r="D48" s="2" t="s">
        <v>55</v>
      </c>
      <c r="E48" s="2" t="n">
        <v>64</v>
      </c>
      <c r="F48" s="2" t="s">
        <v>151</v>
      </c>
      <c r="G48" s="2" t="n">
        <v>48.45</v>
      </c>
      <c r="H48" s="2" t="n">
        <v>3.92</v>
      </c>
      <c r="I48" s="2" t="n">
        <v>13.27</v>
      </c>
      <c r="J48" s="2" t="n">
        <v>12.7</v>
      </c>
      <c r="K48" s="2" t="n">
        <v>0.19</v>
      </c>
      <c r="L48" s="2" t="n">
        <v>6.25</v>
      </c>
      <c r="M48" s="2" t="n">
        <v>11.23</v>
      </c>
      <c r="N48" s="2" t="n">
        <v>3.16</v>
      </c>
      <c r="O48" s="2" t="n">
        <v>0.5</v>
      </c>
      <c r="P48" s="2" t="n">
        <v>0.33</v>
      </c>
      <c r="Q48" s="2" t="n">
        <v>0.03</v>
      </c>
      <c r="R48" s="2" t="n">
        <v>98.2</v>
      </c>
      <c r="S48" s="2" t="n">
        <v>0.4561</v>
      </c>
      <c r="T48" s="2" t="n">
        <v>0.0278</v>
      </c>
      <c r="U48" s="2" t="n">
        <v>0.1473</v>
      </c>
      <c r="V48" s="2" t="n">
        <v>0.1</v>
      </c>
      <c r="W48" s="2" t="n">
        <v>0.0015</v>
      </c>
      <c r="X48" s="2" t="n">
        <v>0.0878</v>
      </c>
      <c r="Y48" s="2" t="n">
        <v>0.1132</v>
      </c>
      <c r="Z48" s="2" t="n">
        <v>0.0576</v>
      </c>
      <c r="AA48" s="2" t="n">
        <v>0.006</v>
      </c>
      <c r="AB48" s="2" t="n">
        <v>0.0026</v>
      </c>
      <c r="AC48" s="2" t="n">
        <v>46.751863684771</v>
      </c>
      <c r="AD48" s="2" t="n">
        <v>0.662763466042155</v>
      </c>
      <c r="AE48" s="2" t="n">
        <v>0.244116672190918</v>
      </c>
      <c r="AF48" s="2" t="n">
        <v>0.768499660556687</v>
      </c>
      <c r="AG48" s="2" t="n">
        <v>0.20802721</v>
      </c>
      <c r="AH48" s="2" t="n">
        <v>0.01267958</v>
      </c>
      <c r="AI48" s="3" t="b">
        <f aca="false">TRUE()</f>
        <v>1</v>
      </c>
      <c r="AJ48" s="2" t="n">
        <v>0.945</v>
      </c>
      <c r="AK48" s="2" t="s">
        <v>57</v>
      </c>
      <c r="AL48" s="2" t="n">
        <v>1207</v>
      </c>
      <c r="AM48" s="2" t="n">
        <v>2.06</v>
      </c>
      <c r="AN48" s="2" t="n">
        <v>7.11417292</v>
      </c>
      <c r="AO48" s="2" t="n">
        <v>500</v>
      </c>
      <c r="AP48" s="2" t="n">
        <v>1.83856</v>
      </c>
      <c r="AQ48" s="2" t="n">
        <v>0.219736420716226</v>
      </c>
      <c r="AR48" s="2" t="n">
        <v>1.4</v>
      </c>
      <c r="AS48" s="2" t="n">
        <v>1.84</v>
      </c>
      <c r="AT48" s="2" t="n">
        <v>2.24</v>
      </c>
      <c r="AU48" s="2" t="n">
        <v>1231.062</v>
      </c>
      <c r="AV48" s="2" t="n">
        <v>3.69993717110714</v>
      </c>
      <c r="AW48" s="2" t="n">
        <v>1224</v>
      </c>
      <c r="AX48" s="2" t="n">
        <v>1231</v>
      </c>
      <c r="AY48" s="2" t="n">
        <v>1238.525</v>
      </c>
      <c r="AZ48" s="2" t="n">
        <v>1.54112992</v>
      </c>
      <c r="BA48" s="2" t="n">
        <v>1.401512</v>
      </c>
    </row>
    <row r="49" customFormat="false" ht="15" hidden="false" customHeight="false" outlineLevel="0" collapsed="false">
      <c r="A49" s="2" t="s">
        <v>152</v>
      </c>
      <c r="B49" s="2" t="n">
        <v>2009</v>
      </c>
      <c r="C49" s="2" t="s">
        <v>136</v>
      </c>
      <c r="D49" s="2" t="s">
        <v>55</v>
      </c>
      <c r="E49" s="2" t="n">
        <v>65</v>
      </c>
      <c r="F49" s="2" t="s">
        <v>153</v>
      </c>
      <c r="G49" s="2" t="n">
        <v>48.57</v>
      </c>
      <c r="H49" s="2" t="n">
        <v>3.54</v>
      </c>
      <c r="I49" s="2" t="n">
        <v>13.92</v>
      </c>
      <c r="J49" s="2" t="n">
        <v>12.07</v>
      </c>
      <c r="K49" s="2" t="n">
        <v>0.2</v>
      </c>
      <c r="L49" s="2" t="n">
        <v>6.53</v>
      </c>
      <c r="M49" s="2" t="n">
        <v>11.48</v>
      </c>
      <c r="N49" s="2" t="n">
        <v>2.92</v>
      </c>
      <c r="O49" s="2" t="n">
        <v>0.47</v>
      </c>
      <c r="P49" s="2" t="n">
        <v>0.29</v>
      </c>
      <c r="Q49" s="2" t="n">
        <v>0.02</v>
      </c>
      <c r="R49" s="2" t="n">
        <v>98.85</v>
      </c>
      <c r="S49" s="2" t="n">
        <v>0.4562</v>
      </c>
      <c r="T49" s="2" t="n">
        <v>0.025</v>
      </c>
      <c r="U49" s="2" t="n">
        <v>0.1541</v>
      </c>
      <c r="V49" s="2" t="n">
        <v>0.0948</v>
      </c>
      <c r="W49" s="2" t="n">
        <v>0.0016</v>
      </c>
      <c r="X49" s="2" t="n">
        <v>0.0914</v>
      </c>
      <c r="Y49" s="2" t="n">
        <v>0.1156</v>
      </c>
      <c r="Z49" s="2" t="n">
        <v>0.0533</v>
      </c>
      <c r="AA49" s="2" t="n">
        <v>0.0056</v>
      </c>
      <c r="AB49" s="2" t="n">
        <v>0.0023</v>
      </c>
      <c r="AC49" s="2" t="n">
        <v>49.0870032223416</v>
      </c>
      <c r="AD49" s="2" t="n">
        <v>0.684428656009473</v>
      </c>
      <c r="AE49" s="2" t="n">
        <v>0.252498771096182</v>
      </c>
      <c r="AF49" s="2" t="n">
        <v>0.750162232316678</v>
      </c>
      <c r="AG49" s="2" t="n">
        <v>0.20811844</v>
      </c>
      <c r="AH49" s="2" t="n">
        <v>0.011405</v>
      </c>
      <c r="AI49" s="3" t="b">
        <f aca="false">TRUE()</f>
        <v>1</v>
      </c>
      <c r="AJ49" s="2" t="n">
        <v>0.945</v>
      </c>
      <c r="AK49" s="2" t="s">
        <v>57</v>
      </c>
      <c r="AL49" s="2" t="n">
        <v>1200</v>
      </c>
      <c r="AM49" s="2" t="n">
        <v>2.43</v>
      </c>
      <c r="AN49" s="2" t="n">
        <v>8.36471853</v>
      </c>
      <c r="AO49" s="2" t="n">
        <v>500</v>
      </c>
      <c r="AP49" s="2" t="n">
        <v>2.2439</v>
      </c>
      <c r="AQ49" s="2" t="n">
        <v>0.206153312795971</v>
      </c>
      <c r="AR49" s="2" t="n">
        <v>1.82</v>
      </c>
      <c r="AS49" s="2" t="n">
        <v>2.25</v>
      </c>
      <c r="AT49" s="2" t="n">
        <v>2.65</v>
      </c>
      <c r="AU49" s="2" t="n">
        <v>1222.14</v>
      </c>
      <c r="AV49" s="2" t="n">
        <v>3.68123661369546</v>
      </c>
      <c r="AW49" s="2" t="n">
        <v>1215</v>
      </c>
      <c r="AX49" s="2" t="n">
        <v>1222</v>
      </c>
      <c r="AY49" s="2" t="n">
        <v>1229</v>
      </c>
      <c r="AZ49" s="2" t="n">
        <v>1.50623453</v>
      </c>
      <c r="BA49" s="2" t="n">
        <v>1.401512</v>
      </c>
    </row>
    <row r="50" customFormat="false" ht="15" hidden="false" customHeight="false" outlineLevel="0" collapsed="false">
      <c r="A50" s="2" t="s">
        <v>154</v>
      </c>
      <c r="B50" s="2" t="n">
        <v>2009</v>
      </c>
      <c r="C50" s="2" t="s">
        <v>136</v>
      </c>
      <c r="D50" s="2" t="s">
        <v>55</v>
      </c>
      <c r="E50" s="2" t="n">
        <v>66</v>
      </c>
      <c r="F50" s="2" t="s">
        <v>155</v>
      </c>
      <c r="G50" s="2" t="n">
        <v>48.64</v>
      </c>
      <c r="H50" s="2" t="n">
        <v>3.43</v>
      </c>
      <c r="I50" s="2" t="n">
        <v>13.65</v>
      </c>
      <c r="J50" s="2" t="n">
        <v>11.88</v>
      </c>
      <c r="K50" s="2" t="n">
        <v>0.26</v>
      </c>
      <c r="L50" s="2" t="n">
        <v>6.69</v>
      </c>
      <c r="M50" s="2" t="n">
        <v>11.64</v>
      </c>
      <c r="N50" s="2" t="n">
        <v>3.05</v>
      </c>
      <c r="O50" s="2" t="n">
        <v>0.44</v>
      </c>
      <c r="P50" s="2" t="n">
        <v>0.31</v>
      </c>
      <c r="Q50" s="2" t="n">
        <v>0.01</v>
      </c>
      <c r="R50" s="2" t="n">
        <v>98.14</v>
      </c>
      <c r="S50" s="2" t="n">
        <v>0.4561</v>
      </c>
      <c r="T50" s="2" t="n">
        <v>0.0242</v>
      </c>
      <c r="U50" s="2" t="n">
        <v>0.1509</v>
      </c>
      <c r="V50" s="2" t="n">
        <v>0.0932</v>
      </c>
      <c r="W50" s="2" t="n">
        <v>0.0021</v>
      </c>
      <c r="X50" s="2" t="n">
        <v>0.0936</v>
      </c>
      <c r="Y50" s="2" t="n">
        <v>0.1169</v>
      </c>
      <c r="Z50" s="2" t="n">
        <v>0.0554</v>
      </c>
      <c r="AA50" s="2" t="n">
        <v>0.0052</v>
      </c>
      <c r="AB50" s="2" t="n">
        <v>0.0024</v>
      </c>
      <c r="AC50" s="2" t="n">
        <v>50.1070663811563</v>
      </c>
      <c r="AD50" s="2" t="n">
        <v>0.678467788740569</v>
      </c>
      <c r="AE50" s="2" t="n">
        <v>0.248599670510708</v>
      </c>
      <c r="AF50" s="2" t="n">
        <v>0.774685222001325</v>
      </c>
      <c r="AG50" s="2" t="n">
        <v>0.20802721</v>
      </c>
      <c r="AH50" s="2" t="n">
        <v>0.01103762</v>
      </c>
      <c r="AI50" s="3" t="b">
        <f aca="false">TRUE()</f>
        <v>1</v>
      </c>
      <c r="AJ50" s="2" t="n">
        <v>0.944</v>
      </c>
      <c r="AK50" s="2" t="s">
        <v>57</v>
      </c>
      <c r="AL50" s="2" t="n">
        <v>1209</v>
      </c>
      <c r="AM50" s="2" t="n">
        <v>2.21</v>
      </c>
      <c r="AN50" s="2" t="n">
        <v>7.62215077</v>
      </c>
      <c r="AO50" s="2" t="n">
        <v>500</v>
      </c>
      <c r="AP50" s="2" t="n">
        <v>1.987</v>
      </c>
      <c r="AQ50" s="2" t="n">
        <v>0.213182300829064</v>
      </c>
      <c r="AR50" s="2" t="n">
        <v>1.52475</v>
      </c>
      <c r="AS50" s="2" t="n">
        <v>2</v>
      </c>
      <c r="AT50" s="2" t="n">
        <v>2.38525</v>
      </c>
      <c r="AU50" s="2" t="n">
        <v>1234.868</v>
      </c>
      <c r="AV50" s="2" t="n">
        <v>3.785662224361</v>
      </c>
      <c r="AW50" s="2" t="n">
        <v>1227</v>
      </c>
      <c r="AX50" s="2" t="n">
        <v>1235</v>
      </c>
      <c r="AY50" s="2" t="n">
        <v>1243</v>
      </c>
      <c r="AZ50" s="2" t="n">
        <v>1.66408783935625</v>
      </c>
      <c r="BA50" s="2" t="n">
        <v>1.35000342285625</v>
      </c>
    </row>
    <row r="51" customFormat="false" ht="15" hidden="false" customHeight="false" outlineLevel="0" collapsed="false">
      <c r="A51" s="2" t="s">
        <v>156</v>
      </c>
      <c r="B51" s="2" t="n">
        <v>2009</v>
      </c>
      <c r="C51" s="2" t="s">
        <v>136</v>
      </c>
      <c r="D51" s="2" t="s">
        <v>55</v>
      </c>
      <c r="E51" s="2" t="n">
        <v>67</v>
      </c>
      <c r="F51" s="2" t="s">
        <v>157</v>
      </c>
      <c r="G51" s="2" t="n">
        <v>48.88</v>
      </c>
      <c r="H51" s="2" t="n">
        <v>3.39</v>
      </c>
      <c r="I51" s="2" t="n">
        <v>13.84</v>
      </c>
      <c r="J51" s="2" t="n">
        <v>11.86</v>
      </c>
      <c r="K51" s="2" t="n">
        <v>0.16</v>
      </c>
      <c r="L51" s="2" t="n">
        <v>6.65</v>
      </c>
      <c r="M51" s="2" t="n">
        <v>11.58</v>
      </c>
      <c r="N51" s="2" t="n">
        <v>2.96</v>
      </c>
      <c r="O51" s="2" t="n">
        <v>0.41</v>
      </c>
      <c r="P51" s="2" t="n">
        <v>0.26</v>
      </c>
      <c r="Q51" s="2" t="n">
        <v>0.01</v>
      </c>
      <c r="R51" s="2" t="n">
        <v>98.32</v>
      </c>
      <c r="S51" s="2" t="n">
        <v>0.4585</v>
      </c>
      <c r="T51" s="2" t="n">
        <v>0.0239</v>
      </c>
      <c r="U51" s="2" t="n">
        <v>0.153</v>
      </c>
      <c r="V51" s="2" t="n">
        <v>0.093</v>
      </c>
      <c r="W51" s="2" t="n">
        <v>0.0013</v>
      </c>
      <c r="X51" s="2" t="n">
        <v>0.093</v>
      </c>
      <c r="Y51" s="2" t="n">
        <v>0.1164</v>
      </c>
      <c r="Z51" s="2" t="n">
        <v>0.0538</v>
      </c>
      <c r="AA51" s="2" t="n">
        <v>0.0049</v>
      </c>
      <c r="AB51" s="2" t="n">
        <v>0.0021</v>
      </c>
      <c r="AC51" s="2" t="n">
        <v>50</v>
      </c>
      <c r="AD51" s="2" t="n">
        <v>0.683901292596945</v>
      </c>
      <c r="AE51" s="2" t="n">
        <v>0.250204415372036</v>
      </c>
      <c r="AF51" s="2" t="n">
        <v>0.76078431372549</v>
      </c>
      <c r="AG51" s="2" t="n">
        <v>0.21022225</v>
      </c>
      <c r="AH51" s="2" t="n">
        <v>0.01095815</v>
      </c>
      <c r="AI51" s="3" t="b">
        <f aca="false">TRUE()</f>
        <v>1</v>
      </c>
      <c r="AJ51" s="2" t="n">
        <v>0.948</v>
      </c>
      <c r="AK51" s="2" t="s">
        <v>57</v>
      </c>
      <c r="AL51" s="2" t="n">
        <v>1206</v>
      </c>
      <c r="AM51" s="2" t="n">
        <v>2.19</v>
      </c>
      <c r="AN51" s="2" t="n">
        <v>7.55449917</v>
      </c>
      <c r="AO51" s="2" t="n">
        <v>500</v>
      </c>
      <c r="AP51" s="2" t="n">
        <v>2.03488</v>
      </c>
      <c r="AQ51" s="2" t="n">
        <v>0.216621410000353</v>
      </c>
      <c r="AR51" s="2" t="n">
        <v>1.6</v>
      </c>
      <c r="AS51" s="2" t="n">
        <v>2.04</v>
      </c>
      <c r="AT51" s="2" t="n">
        <v>2.4405</v>
      </c>
      <c r="AU51" s="2" t="n">
        <v>1225.432</v>
      </c>
      <c r="AV51" s="2" t="n">
        <v>3.7149667503104</v>
      </c>
      <c r="AW51" s="2" t="n">
        <v>1218</v>
      </c>
      <c r="AX51" s="2" t="n">
        <v>1225</v>
      </c>
      <c r="AY51" s="2" t="n">
        <v>1232.525</v>
      </c>
      <c r="AZ51" s="2" t="n">
        <v>1.54112992</v>
      </c>
      <c r="BA51" s="2" t="n">
        <v>1.403257822425</v>
      </c>
    </row>
    <row r="52" customFormat="false" ht="15" hidden="false" customHeight="false" outlineLevel="0" collapsed="false">
      <c r="A52" s="2" t="s">
        <v>158</v>
      </c>
      <c r="B52" s="2" t="n">
        <v>2009</v>
      </c>
      <c r="C52" s="2" t="s">
        <v>136</v>
      </c>
      <c r="D52" s="2" t="s">
        <v>55</v>
      </c>
      <c r="E52" s="2" t="n">
        <v>68</v>
      </c>
      <c r="F52" s="2" t="s">
        <v>159</v>
      </c>
      <c r="G52" s="2" t="n">
        <v>48.62</v>
      </c>
      <c r="H52" s="2" t="n">
        <v>3.47</v>
      </c>
      <c r="I52" s="2" t="n">
        <v>13.65</v>
      </c>
      <c r="J52" s="2" t="n">
        <v>11.92</v>
      </c>
      <c r="K52" s="2" t="n">
        <v>0.21</v>
      </c>
      <c r="L52" s="2" t="n">
        <v>6.54</v>
      </c>
      <c r="M52" s="2" t="n">
        <v>11.75</v>
      </c>
      <c r="N52" s="2" t="n">
        <v>3.09</v>
      </c>
      <c r="O52" s="2" t="n">
        <v>0.46</v>
      </c>
      <c r="P52" s="2" t="n">
        <v>0.29</v>
      </c>
      <c r="Q52" s="2" t="n">
        <v>0.01</v>
      </c>
      <c r="R52" s="2" t="n">
        <v>98.54</v>
      </c>
      <c r="S52" s="2" t="n">
        <v>0.456</v>
      </c>
      <c r="T52" s="2" t="n">
        <v>0.0245</v>
      </c>
      <c r="U52" s="2" t="n">
        <v>0.1509</v>
      </c>
      <c r="V52" s="2" t="n">
        <v>0.0935</v>
      </c>
      <c r="W52" s="2" t="n">
        <v>0.0017</v>
      </c>
      <c r="X52" s="2" t="n">
        <v>0.0914</v>
      </c>
      <c r="Y52" s="2" t="n">
        <v>0.1181</v>
      </c>
      <c r="Z52" s="2" t="n">
        <v>0.0561</v>
      </c>
      <c r="AA52" s="2" t="n">
        <v>0.0055</v>
      </c>
      <c r="AB52" s="2" t="n">
        <v>0.0023</v>
      </c>
      <c r="AC52" s="2" t="n">
        <v>49.4321254732288</v>
      </c>
      <c r="AD52" s="2" t="n">
        <v>0.677956371986223</v>
      </c>
      <c r="AE52" s="2" t="n">
        <v>0.248640632723678</v>
      </c>
      <c r="AF52" s="2" t="n">
        <v>0.782637508283631</v>
      </c>
      <c r="AG52" s="2" t="n">
        <v>0.207936</v>
      </c>
      <c r="AH52" s="2" t="n">
        <v>0.011172</v>
      </c>
      <c r="AI52" s="3" t="b">
        <f aca="false">TRUE()</f>
        <v>1</v>
      </c>
      <c r="AJ52" s="2" t="n">
        <v>0.944</v>
      </c>
      <c r="AK52" s="2" t="s">
        <v>57</v>
      </c>
      <c r="AL52" s="2" t="n">
        <v>1209</v>
      </c>
      <c r="AM52" s="2" t="n">
        <v>1.72</v>
      </c>
      <c r="AN52" s="2" t="n">
        <v>5.95770848</v>
      </c>
      <c r="AO52" s="2" t="n">
        <v>500</v>
      </c>
      <c r="AP52" s="2" t="n">
        <v>1.50222</v>
      </c>
      <c r="AQ52" s="2" t="n">
        <v>0.21162713362746</v>
      </c>
      <c r="AR52" s="2" t="n">
        <v>1.09475</v>
      </c>
      <c r="AS52" s="2" t="n">
        <v>1.5</v>
      </c>
      <c r="AT52" s="2" t="n">
        <v>1.9</v>
      </c>
      <c r="AU52" s="2" t="n">
        <v>1231.544</v>
      </c>
      <c r="AV52" s="2" t="n">
        <v>3.61416496258175</v>
      </c>
      <c r="AW52" s="2" t="n">
        <v>1224.475</v>
      </c>
      <c r="AX52" s="2" t="n">
        <v>1232</v>
      </c>
      <c r="AY52" s="2" t="n">
        <v>1238</v>
      </c>
      <c r="AZ52" s="2" t="n">
        <v>1.41984237985625</v>
      </c>
      <c r="BA52" s="2" t="n">
        <v>1.401512</v>
      </c>
    </row>
    <row r="53" customFormat="false" ht="15" hidden="false" customHeight="false" outlineLevel="0" collapsed="false">
      <c r="A53" s="2" t="s">
        <v>160</v>
      </c>
      <c r="B53" s="2" t="n">
        <v>2009</v>
      </c>
      <c r="C53" s="2" t="s">
        <v>136</v>
      </c>
      <c r="D53" s="2" t="s">
        <v>55</v>
      </c>
      <c r="E53" s="2" t="n">
        <v>69</v>
      </c>
      <c r="F53" s="2" t="s">
        <v>161</v>
      </c>
      <c r="G53" s="2" t="n">
        <v>48.56</v>
      </c>
      <c r="H53" s="2" t="n">
        <v>3.5</v>
      </c>
      <c r="I53" s="2" t="n">
        <v>13.88</v>
      </c>
      <c r="J53" s="2" t="n">
        <v>12.09</v>
      </c>
      <c r="K53" s="2" t="n">
        <v>0.19</v>
      </c>
      <c r="L53" s="2" t="n">
        <v>6.38</v>
      </c>
      <c r="M53" s="2" t="n">
        <v>11.51</v>
      </c>
      <c r="N53" s="2" t="n">
        <v>3.14</v>
      </c>
      <c r="O53" s="2" t="n">
        <v>0.47</v>
      </c>
      <c r="P53" s="2" t="n">
        <v>0.29</v>
      </c>
      <c r="Q53" s="2" t="n">
        <v>0.02</v>
      </c>
      <c r="R53" s="2" t="n">
        <v>98.64</v>
      </c>
      <c r="S53" s="2" t="n">
        <v>0.4555</v>
      </c>
      <c r="T53" s="2" t="n">
        <v>0.0247</v>
      </c>
      <c r="U53" s="2" t="n">
        <v>0.1535</v>
      </c>
      <c r="V53" s="2" t="n">
        <v>0.0948</v>
      </c>
      <c r="W53" s="2" t="n">
        <v>0.0015</v>
      </c>
      <c r="X53" s="2" t="n">
        <v>0.0892</v>
      </c>
      <c r="Y53" s="2" t="n">
        <v>0.1157</v>
      </c>
      <c r="Z53" s="2" t="n">
        <v>0.0572</v>
      </c>
      <c r="AA53" s="2" t="n">
        <v>0.0056</v>
      </c>
      <c r="AB53" s="2" t="n">
        <v>0.0023</v>
      </c>
      <c r="AC53" s="2" t="n">
        <v>48.4782608695652</v>
      </c>
      <c r="AD53" s="2" t="n">
        <v>0.669172932330827</v>
      </c>
      <c r="AE53" s="2" t="n">
        <v>0.252052545155993</v>
      </c>
      <c r="AF53" s="2" t="n">
        <v>0.753745928338762</v>
      </c>
      <c r="AG53" s="2" t="n">
        <v>0.20748025</v>
      </c>
      <c r="AH53" s="2" t="n">
        <v>0.01125085</v>
      </c>
      <c r="AI53" s="3" t="b">
        <f aca="false">TRUE()</f>
        <v>1</v>
      </c>
      <c r="AJ53" s="2" t="n">
        <v>0.946</v>
      </c>
      <c r="AK53" s="2" t="s">
        <v>57</v>
      </c>
      <c r="AL53" s="2" t="n">
        <v>1198</v>
      </c>
      <c r="AM53" s="2" t="n">
        <v>2.01</v>
      </c>
      <c r="AN53" s="2" t="n">
        <v>6.94454397</v>
      </c>
      <c r="AO53" s="2" t="n">
        <v>500</v>
      </c>
      <c r="AP53" s="2" t="n">
        <v>1.83888</v>
      </c>
      <c r="AQ53" s="2" t="n">
        <v>0.212996433212207</v>
      </c>
      <c r="AR53" s="2" t="n">
        <v>1.42475</v>
      </c>
      <c r="AS53" s="2" t="n">
        <v>1.84</v>
      </c>
      <c r="AT53" s="2" t="n">
        <v>2.2605</v>
      </c>
      <c r="AU53" s="2" t="n">
        <v>1219.126</v>
      </c>
      <c r="AV53" s="2" t="n">
        <v>3.48517099059248</v>
      </c>
      <c r="AW53" s="2" t="n">
        <v>1212.475</v>
      </c>
      <c r="AX53" s="2" t="n">
        <v>1219</v>
      </c>
      <c r="AY53" s="2" t="n">
        <v>1226</v>
      </c>
      <c r="AZ53" s="2" t="n">
        <v>1.45475276835625</v>
      </c>
      <c r="BA53" s="2" t="n">
        <v>1.473078296425</v>
      </c>
    </row>
    <row r="54" customFormat="false" ht="15" hidden="false" customHeight="false" outlineLevel="0" collapsed="false">
      <c r="A54" s="2" t="s">
        <v>162</v>
      </c>
      <c r="B54" s="2" t="n">
        <v>2009</v>
      </c>
      <c r="C54" s="2" t="s">
        <v>136</v>
      </c>
      <c r="D54" s="2" t="s">
        <v>55</v>
      </c>
      <c r="E54" s="2" t="n">
        <v>70</v>
      </c>
      <c r="F54" s="2" t="s">
        <v>163</v>
      </c>
      <c r="G54" s="2" t="n">
        <v>48.84</v>
      </c>
      <c r="H54" s="2" t="n">
        <v>3.43</v>
      </c>
      <c r="I54" s="2" t="n">
        <v>13.74</v>
      </c>
      <c r="J54" s="2" t="n">
        <v>12.07</v>
      </c>
      <c r="K54" s="2" t="n">
        <v>0.19</v>
      </c>
      <c r="L54" s="2" t="n">
        <v>6.53</v>
      </c>
      <c r="M54" s="2" t="n">
        <v>11.65</v>
      </c>
      <c r="N54" s="2" t="n">
        <v>2.8</v>
      </c>
      <c r="O54" s="2" t="n">
        <v>0.46</v>
      </c>
      <c r="P54" s="2" t="n">
        <v>0.3</v>
      </c>
      <c r="Q54" s="2" t="n">
        <v>0.04</v>
      </c>
      <c r="R54" s="2" t="n">
        <v>98.4</v>
      </c>
      <c r="S54" s="2" t="n">
        <v>0.4593</v>
      </c>
      <c r="T54" s="2" t="n">
        <v>0.0242</v>
      </c>
      <c r="U54" s="2" t="n">
        <v>0.1523</v>
      </c>
      <c r="V54" s="2" t="n">
        <v>0.0949</v>
      </c>
      <c r="W54" s="2" t="n">
        <v>0.0015</v>
      </c>
      <c r="X54" s="2" t="n">
        <v>0.0915</v>
      </c>
      <c r="Y54" s="2" t="n">
        <v>0.1174</v>
      </c>
      <c r="Z54" s="2" t="n">
        <v>0.051</v>
      </c>
      <c r="AA54" s="2" t="n">
        <v>0.0055</v>
      </c>
      <c r="AB54" s="2" t="n">
        <v>0.0024</v>
      </c>
      <c r="AC54" s="2" t="n">
        <v>49.087982832618</v>
      </c>
      <c r="AD54" s="2" t="n">
        <v>0.697149643705463</v>
      </c>
      <c r="AE54" s="2" t="n">
        <v>0.249018966644866</v>
      </c>
      <c r="AF54" s="2" t="n">
        <v>0.770847012475378</v>
      </c>
      <c r="AG54" s="2" t="n">
        <v>0.21095649</v>
      </c>
      <c r="AH54" s="2" t="n">
        <v>0.01111506</v>
      </c>
      <c r="AI54" s="3" t="b">
        <f aca="false">TRUE()</f>
        <v>1</v>
      </c>
      <c r="AJ54" s="2" t="n">
        <v>0.944</v>
      </c>
      <c r="AK54" s="2" t="s">
        <v>57</v>
      </c>
      <c r="AL54" s="2" t="n">
        <v>1202</v>
      </c>
      <c r="AM54" s="2" t="n">
        <v>1.89</v>
      </c>
      <c r="AN54" s="2" t="n">
        <v>6.53681637</v>
      </c>
      <c r="AO54" s="2" t="n">
        <v>500</v>
      </c>
      <c r="AP54" s="2" t="n">
        <v>1.72324</v>
      </c>
      <c r="AQ54" s="2" t="n">
        <v>0.207005325558593</v>
      </c>
      <c r="AR54" s="2" t="n">
        <v>1.2695</v>
      </c>
      <c r="AS54" s="2" t="n">
        <v>1.73</v>
      </c>
      <c r="AT54" s="2" t="n">
        <v>2.1305</v>
      </c>
      <c r="AU54" s="2" t="n">
        <v>1223.658</v>
      </c>
      <c r="AV54" s="2" t="n">
        <v>3.6485146729371</v>
      </c>
      <c r="AW54" s="2" t="n">
        <v>1216</v>
      </c>
      <c r="AX54" s="2" t="n">
        <v>1224</v>
      </c>
      <c r="AY54" s="2" t="n">
        <v>1231</v>
      </c>
      <c r="AZ54" s="2" t="n">
        <v>1.612646524425</v>
      </c>
      <c r="BA54" s="2" t="n">
        <v>1.403257822425</v>
      </c>
    </row>
    <row r="55" customFormat="false" ht="15" hidden="false" customHeight="false" outlineLevel="0" collapsed="false">
      <c r="A55" s="2" t="s">
        <v>164</v>
      </c>
      <c r="B55" s="2" t="n">
        <v>2009</v>
      </c>
      <c r="C55" s="2" t="s">
        <v>136</v>
      </c>
      <c r="D55" s="2" t="s">
        <v>55</v>
      </c>
      <c r="E55" s="2" t="n">
        <v>71</v>
      </c>
      <c r="F55" s="2" t="s">
        <v>165</v>
      </c>
      <c r="G55" s="2" t="n">
        <v>48.69</v>
      </c>
      <c r="H55" s="2" t="n">
        <v>3.4</v>
      </c>
      <c r="I55" s="2" t="n">
        <v>13.71</v>
      </c>
      <c r="J55" s="2" t="n">
        <v>11.83</v>
      </c>
      <c r="K55" s="2" t="n">
        <v>0.18</v>
      </c>
      <c r="L55" s="2" t="n">
        <v>6.78</v>
      </c>
      <c r="M55" s="2" t="n">
        <v>11.66</v>
      </c>
      <c r="N55" s="2" t="n">
        <v>2.98</v>
      </c>
      <c r="O55" s="2" t="n">
        <v>0.47</v>
      </c>
      <c r="P55" s="2" t="n">
        <v>0.31</v>
      </c>
      <c r="Q55" s="2" t="n">
        <v>0.03</v>
      </c>
      <c r="R55" s="2" t="n">
        <v>98.31</v>
      </c>
      <c r="S55" s="2" t="n">
        <v>0.4564</v>
      </c>
      <c r="T55" s="2" t="n">
        <v>0.024</v>
      </c>
      <c r="U55" s="2" t="n">
        <v>0.1514</v>
      </c>
      <c r="V55" s="2" t="n">
        <v>0.0928</v>
      </c>
      <c r="W55" s="2" t="n">
        <v>0.0015</v>
      </c>
      <c r="X55" s="2" t="n">
        <v>0.0947</v>
      </c>
      <c r="Y55" s="2" t="n">
        <v>0.1171</v>
      </c>
      <c r="Z55" s="2" t="n">
        <v>0.0542</v>
      </c>
      <c r="AA55" s="2" t="n">
        <v>0.0056</v>
      </c>
      <c r="AB55" s="2" t="n">
        <v>0.0024</v>
      </c>
      <c r="AC55" s="2" t="n">
        <v>50.5066666666667</v>
      </c>
      <c r="AD55" s="2" t="n">
        <v>0.6835960303561</v>
      </c>
      <c r="AE55" s="2" t="n">
        <v>0.249095097071405</v>
      </c>
      <c r="AF55" s="2" t="n">
        <v>0.773447820343461</v>
      </c>
      <c r="AG55" s="2" t="n">
        <v>0.20830096</v>
      </c>
      <c r="AH55" s="2" t="n">
        <v>0.0109536</v>
      </c>
      <c r="AI55" s="3" t="b">
        <f aca="false">TRUE()</f>
        <v>1</v>
      </c>
      <c r="AJ55" s="2" t="n">
        <v>0.94</v>
      </c>
      <c r="AK55" s="2" t="s">
        <v>57</v>
      </c>
      <c r="AL55" s="2" t="n">
        <v>1215</v>
      </c>
      <c r="AM55" s="2" t="n">
        <v>2.34</v>
      </c>
      <c r="AN55" s="2" t="n">
        <v>8.06129532</v>
      </c>
      <c r="AO55" s="2" t="n">
        <v>500</v>
      </c>
      <c r="AP55" s="2" t="n">
        <v>2.135</v>
      </c>
      <c r="AQ55" s="2" t="n">
        <v>0.217546438504085</v>
      </c>
      <c r="AR55" s="2" t="n">
        <v>1.74</v>
      </c>
      <c r="AS55" s="2" t="n">
        <v>2.12</v>
      </c>
      <c r="AT55" s="2" t="n">
        <v>2.57</v>
      </c>
      <c r="AU55" s="2" t="n">
        <v>1236.71</v>
      </c>
      <c r="AV55" s="2" t="n">
        <v>3.91312216140772</v>
      </c>
      <c r="AW55" s="2" t="n">
        <v>1229</v>
      </c>
      <c r="AX55" s="2" t="n">
        <v>1237</v>
      </c>
      <c r="AY55" s="2" t="n">
        <v>1244.525</v>
      </c>
      <c r="AZ55" s="2" t="n">
        <v>1.33166668</v>
      </c>
      <c r="BA55" s="2" t="n">
        <v>1.57601925</v>
      </c>
    </row>
    <row r="56" customFormat="false" ht="15" hidden="false" customHeight="false" outlineLevel="0" collapsed="false">
      <c r="A56" s="2" t="s">
        <v>166</v>
      </c>
      <c r="B56" s="2" t="n">
        <v>2009</v>
      </c>
      <c r="C56" s="2" t="s">
        <v>136</v>
      </c>
      <c r="D56" s="2" t="s">
        <v>55</v>
      </c>
      <c r="E56" s="2" t="n">
        <v>72</v>
      </c>
      <c r="F56" s="2" t="s">
        <v>167</v>
      </c>
      <c r="G56" s="2" t="n">
        <v>48.7</v>
      </c>
      <c r="H56" s="2" t="n">
        <v>3.45</v>
      </c>
      <c r="I56" s="2" t="n">
        <v>14</v>
      </c>
      <c r="J56" s="2" t="n">
        <v>11.94</v>
      </c>
      <c r="K56" s="2" t="n">
        <v>0.19</v>
      </c>
      <c r="L56" s="2" t="n">
        <v>6.46</v>
      </c>
      <c r="M56" s="2" t="n">
        <v>11.49</v>
      </c>
      <c r="N56" s="2" t="n">
        <v>2.94</v>
      </c>
      <c r="O56" s="2" t="n">
        <v>0.48</v>
      </c>
      <c r="P56" s="2" t="n">
        <v>0.36</v>
      </c>
      <c r="Q56" s="2" t="n">
        <v>0.03</v>
      </c>
      <c r="R56" s="2" t="n">
        <v>98.55</v>
      </c>
      <c r="S56" s="2" t="n">
        <v>0.4573</v>
      </c>
      <c r="T56" s="2" t="n">
        <v>0.0244</v>
      </c>
      <c r="U56" s="2" t="n">
        <v>0.1549</v>
      </c>
      <c r="V56" s="2" t="n">
        <v>0.0937</v>
      </c>
      <c r="W56" s="2" t="n">
        <v>0.0015</v>
      </c>
      <c r="X56" s="2" t="n">
        <v>0.0904</v>
      </c>
      <c r="Y56" s="2" t="n">
        <v>0.1156</v>
      </c>
      <c r="Z56" s="2" t="n">
        <v>0.0536</v>
      </c>
      <c r="AA56" s="2" t="n">
        <v>0.0057</v>
      </c>
      <c r="AB56" s="2" t="n">
        <v>0.0028</v>
      </c>
      <c r="AC56" s="2" t="n">
        <v>49.1037479630636</v>
      </c>
      <c r="AD56" s="2" t="n">
        <v>0.683215130023641</v>
      </c>
      <c r="AE56" s="2" t="n">
        <v>0.253021888271807</v>
      </c>
      <c r="AF56" s="2" t="n">
        <v>0.746287927695287</v>
      </c>
      <c r="AG56" s="2" t="n">
        <v>0.20912329</v>
      </c>
      <c r="AH56" s="2" t="n">
        <v>0.01115812</v>
      </c>
      <c r="AI56" s="3" t="b">
        <f aca="false">TRUE()</f>
        <v>1</v>
      </c>
      <c r="AJ56" s="2" t="n">
        <v>0.943</v>
      </c>
      <c r="AK56" s="2" t="s">
        <v>57</v>
      </c>
      <c r="AL56" s="2" t="n">
        <v>1193</v>
      </c>
      <c r="AM56" s="2" t="n">
        <v>2.24</v>
      </c>
      <c r="AN56" s="2" t="n">
        <v>7.72358272</v>
      </c>
      <c r="AO56" s="2" t="n">
        <v>500</v>
      </c>
      <c r="AP56" s="2" t="n">
        <v>2.02662</v>
      </c>
      <c r="AQ56" s="2" t="n">
        <v>0.207401075243172</v>
      </c>
      <c r="AR56" s="2" t="n">
        <v>1.62</v>
      </c>
      <c r="AS56" s="2" t="n">
        <v>2.03</v>
      </c>
      <c r="AT56" s="2" t="n">
        <v>2.42525</v>
      </c>
      <c r="AU56" s="2" t="n">
        <v>1217.322</v>
      </c>
      <c r="AV56" s="2" t="n">
        <v>3.50583767387927</v>
      </c>
      <c r="AW56" s="2" t="n">
        <v>1210</v>
      </c>
      <c r="AX56" s="2" t="n">
        <v>1217</v>
      </c>
      <c r="AY56" s="2" t="n">
        <v>1224</v>
      </c>
      <c r="AZ56" s="2" t="n">
        <v>1.43642557</v>
      </c>
      <c r="BA56" s="2" t="n">
        <v>1.38492593135625</v>
      </c>
    </row>
    <row r="57" customFormat="false" ht="15" hidden="false" customHeight="false" outlineLevel="0" collapsed="false">
      <c r="A57" s="2" t="s">
        <v>168</v>
      </c>
      <c r="B57" s="2" t="n">
        <v>2009</v>
      </c>
      <c r="C57" s="2" t="s">
        <v>136</v>
      </c>
      <c r="D57" s="2" t="s">
        <v>55</v>
      </c>
      <c r="E57" s="2" t="n">
        <v>73</v>
      </c>
      <c r="F57" s="2" t="s">
        <v>169</v>
      </c>
      <c r="G57" s="2" t="n">
        <v>48.96</v>
      </c>
      <c r="H57" s="2" t="n">
        <v>3.45</v>
      </c>
      <c r="I57" s="2" t="n">
        <v>14.08</v>
      </c>
      <c r="J57" s="2" t="n">
        <v>11.68</v>
      </c>
      <c r="K57" s="2" t="n">
        <v>0.17</v>
      </c>
      <c r="L57" s="2" t="n">
        <v>6.44</v>
      </c>
      <c r="M57" s="2" t="n">
        <v>11.54</v>
      </c>
      <c r="N57" s="2" t="n">
        <v>2.9</v>
      </c>
      <c r="O57" s="2" t="n">
        <v>0.45</v>
      </c>
      <c r="P57" s="2" t="n">
        <v>0.32</v>
      </c>
      <c r="Q57" s="2" t="n">
        <v>0.02</v>
      </c>
      <c r="R57" s="2" t="n">
        <v>98.15</v>
      </c>
      <c r="S57" s="2" t="n">
        <v>0.4597</v>
      </c>
      <c r="T57" s="2" t="n">
        <v>0.0244</v>
      </c>
      <c r="U57" s="2" t="n">
        <v>0.1558</v>
      </c>
      <c r="V57" s="2" t="n">
        <v>0.0917</v>
      </c>
      <c r="W57" s="2" t="n">
        <v>0.0014</v>
      </c>
      <c r="X57" s="2" t="n">
        <v>0.0901</v>
      </c>
      <c r="Y57" s="2" t="n">
        <v>0.1161</v>
      </c>
      <c r="Z57" s="2" t="n">
        <v>0.0529</v>
      </c>
      <c r="AA57" s="2" t="n">
        <v>0.0054</v>
      </c>
      <c r="AB57" s="2" t="n">
        <v>0.0025</v>
      </c>
      <c r="AC57" s="2" t="n">
        <v>49.5599559955996</v>
      </c>
      <c r="AD57" s="2" t="n">
        <v>0.68698224852071</v>
      </c>
      <c r="AE57" s="2" t="n">
        <v>0.253127538586515</v>
      </c>
      <c r="AF57" s="2" t="n">
        <v>0.745186136071887</v>
      </c>
      <c r="AG57" s="2" t="n">
        <v>0.21132409</v>
      </c>
      <c r="AH57" s="2" t="n">
        <v>0.01121668</v>
      </c>
      <c r="AI57" s="3" t="b">
        <f aca="false">TRUE()</f>
        <v>1</v>
      </c>
      <c r="AJ57" s="2" t="n">
        <v>0.945</v>
      </c>
      <c r="AK57" s="2" t="s">
        <v>57</v>
      </c>
      <c r="AL57" s="2" t="n">
        <v>1192</v>
      </c>
      <c r="AM57" s="2" t="n">
        <v>1.98</v>
      </c>
      <c r="AN57" s="2" t="n">
        <v>6.84269388</v>
      </c>
      <c r="AO57" s="2" t="n">
        <v>500</v>
      </c>
      <c r="AP57" s="2" t="n">
        <v>1.8023</v>
      </c>
      <c r="AQ57" s="2" t="n">
        <v>0.205787285354628</v>
      </c>
      <c r="AR57" s="2" t="n">
        <v>1.4095</v>
      </c>
      <c r="AS57" s="2" t="n">
        <v>1.795</v>
      </c>
      <c r="AT57" s="2" t="n">
        <v>2.22525</v>
      </c>
      <c r="AU57" s="2" t="n">
        <v>1213.918</v>
      </c>
      <c r="AV57" s="2" t="n">
        <v>3.78575486260792</v>
      </c>
      <c r="AW57" s="2" t="n">
        <v>1207</v>
      </c>
      <c r="AX57" s="2" t="n">
        <v>1214</v>
      </c>
      <c r="AY57" s="2" t="n">
        <v>1221</v>
      </c>
      <c r="AZ57" s="2" t="n">
        <v>1.350876559425</v>
      </c>
      <c r="BA57" s="2" t="n">
        <v>1.50710698860625</v>
      </c>
    </row>
    <row r="58" customFormat="false" ht="15" hidden="false" customHeight="false" outlineLevel="0" collapsed="false">
      <c r="A58" s="2" t="s">
        <v>170</v>
      </c>
      <c r="B58" s="2" t="n">
        <v>2009</v>
      </c>
      <c r="C58" s="2" t="s">
        <v>136</v>
      </c>
      <c r="D58" s="2" t="s">
        <v>55</v>
      </c>
      <c r="E58" s="2" t="n">
        <v>74</v>
      </c>
      <c r="F58" s="2" t="s">
        <v>171</v>
      </c>
      <c r="G58" s="2" t="n">
        <v>48.54</v>
      </c>
      <c r="H58" s="2" t="n">
        <v>3.43</v>
      </c>
      <c r="I58" s="2" t="n">
        <v>13.96</v>
      </c>
      <c r="J58" s="2" t="n">
        <v>11.7</v>
      </c>
      <c r="K58" s="2" t="n">
        <v>0.23</v>
      </c>
      <c r="L58" s="2" t="n">
        <v>6.76</v>
      </c>
      <c r="M58" s="2" t="n">
        <v>11.75</v>
      </c>
      <c r="N58" s="2" t="n">
        <v>2.93</v>
      </c>
      <c r="O58" s="2" t="n">
        <v>0.44</v>
      </c>
      <c r="P58" s="2" t="n">
        <v>0.26</v>
      </c>
      <c r="Q58" s="2" t="n">
        <v>0.02</v>
      </c>
      <c r="R58" s="2" t="n">
        <v>97.96</v>
      </c>
      <c r="S58" s="2" t="n">
        <v>0.455</v>
      </c>
      <c r="T58" s="2" t="n">
        <v>0.0242</v>
      </c>
      <c r="U58" s="2" t="n">
        <v>0.1542</v>
      </c>
      <c r="V58" s="2" t="n">
        <v>0.0917</v>
      </c>
      <c r="W58" s="2" t="n">
        <v>0.0019</v>
      </c>
      <c r="X58" s="2" t="n">
        <v>0.0945</v>
      </c>
      <c r="Y58" s="2" t="n">
        <v>0.118</v>
      </c>
      <c r="Z58" s="2" t="n">
        <v>0.0533</v>
      </c>
      <c r="AA58" s="2" t="n">
        <v>0.0052</v>
      </c>
      <c r="AB58" s="2" t="n">
        <v>0.002</v>
      </c>
      <c r="AC58" s="2" t="n">
        <v>50.7518796992481</v>
      </c>
      <c r="AD58" s="2" t="n">
        <v>0.688849970811442</v>
      </c>
      <c r="AE58" s="2" t="n">
        <v>0.25311884438608</v>
      </c>
      <c r="AF58" s="2" t="n">
        <v>0.765239948119325</v>
      </c>
      <c r="AG58" s="2" t="n">
        <v>0.207025</v>
      </c>
      <c r="AH58" s="2" t="n">
        <v>0.011011</v>
      </c>
      <c r="AI58" s="3" t="b">
        <f aca="false">TRUE()</f>
        <v>1</v>
      </c>
      <c r="AJ58" s="2" t="n">
        <v>0.943</v>
      </c>
      <c r="AK58" s="2" t="s">
        <v>57</v>
      </c>
      <c r="AL58" s="2" t="n">
        <v>1210</v>
      </c>
      <c r="AM58" s="2" t="n">
        <v>2.41</v>
      </c>
      <c r="AN58" s="2" t="n">
        <v>8.29733357</v>
      </c>
      <c r="AO58" s="2" t="n">
        <v>500</v>
      </c>
      <c r="AP58" s="2" t="n">
        <v>2.21748</v>
      </c>
      <c r="AQ58" s="2" t="n">
        <v>0.222548658523977</v>
      </c>
      <c r="AR58" s="2" t="n">
        <v>1.77475</v>
      </c>
      <c r="AS58" s="2" t="n">
        <v>2.24</v>
      </c>
      <c r="AT58" s="2" t="n">
        <v>2.66</v>
      </c>
      <c r="AU58" s="2" t="n">
        <v>1231.516</v>
      </c>
      <c r="AV58" s="2" t="n">
        <v>3.79454095802962</v>
      </c>
      <c r="AW58" s="2" t="n">
        <v>1224</v>
      </c>
      <c r="AX58" s="2" t="n">
        <v>1231.5</v>
      </c>
      <c r="AY58" s="2" t="n">
        <v>1239</v>
      </c>
      <c r="AZ58" s="2" t="n">
        <v>1.62921381085625</v>
      </c>
      <c r="BA58" s="2" t="n">
        <v>1.47133308</v>
      </c>
    </row>
    <row r="59" customFormat="false" ht="15" hidden="false" customHeight="false" outlineLevel="0" collapsed="false">
      <c r="A59" s="2" t="s">
        <v>172</v>
      </c>
      <c r="B59" s="2" t="n">
        <v>2009</v>
      </c>
      <c r="C59" s="2" t="s">
        <v>136</v>
      </c>
      <c r="D59" s="2" t="s">
        <v>55</v>
      </c>
      <c r="E59" s="2" t="n">
        <v>75</v>
      </c>
      <c r="F59" s="2" t="s">
        <v>173</v>
      </c>
      <c r="G59" s="2" t="n">
        <v>48.59</v>
      </c>
      <c r="H59" s="2" t="n">
        <v>3.47</v>
      </c>
      <c r="I59" s="2" t="n">
        <v>13.71</v>
      </c>
      <c r="J59" s="2" t="n">
        <v>12.16</v>
      </c>
      <c r="K59" s="2" t="n">
        <v>0.16</v>
      </c>
      <c r="L59" s="2" t="n">
        <v>6.59</v>
      </c>
      <c r="M59" s="2" t="n">
        <v>11.56</v>
      </c>
      <c r="N59" s="2" t="n">
        <v>2.96</v>
      </c>
      <c r="O59" s="2" t="n">
        <v>0.47</v>
      </c>
      <c r="P59" s="2" t="n">
        <v>0.33</v>
      </c>
      <c r="Q59" s="2" t="n">
        <v>0.03</v>
      </c>
      <c r="R59" s="2" t="n">
        <v>98.23</v>
      </c>
      <c r="S59" s="2" t="n">
        <v>0.4563</v>
      </c>
      <c r="T59" s="2" t="n">
        <v>0.0245</v>
      </c>
      <c r="U59" s="2" t="n">
        <v>0.1517</v>
      </c>
      <c r="V59" s="2" t="n">
        <v>0.0955</v>
      </c>
      <c r="W59" s="2" t="n">
        <v>0.0013</v>
      </c>
      <c r="X59" s="2" t="n">
        <v>0.0922</v>
      </c>
      <c r="Y59" s="2" t="n">
        <v>0.1163</v>
      </c>
      <c r="Z59" s="2" t="n">
        <v>0.0539</v>
      </c>
      <c r="AA59" s="2" t="n">
        <v>0.0056</v>
      </c>
      <c r="AB59" s="2" t="n">
        <v>0.0026</v>
      </c>
      <c r="AC59" s="2" t="n">
        <v>49.1209376664891</v>
      </c>
      <c r="AD59" s="2" t="n">
        <v>0.68331374853114</v>
      </c>
      <c r="AE59" s="2" t="n">
        <v>0.249506578947368</v>
      </c>
      <c r="AF59" s="2" t="n">
        <v>0.766644693473962</v>
      </c>
      <c r="AG59" s="2" t="n">
        <v>0.20820969</v>
      </c>
      <c r="AH59" s="2" t="n">
        <v>0.01117935</v>
      </c>
      <c r="AI59" s="3" t="b">
        <f aca="false">TRUE()</f>
        <v>1</v>
      </c>
      <c r="AJ59" s="2" t="n">
        <v>0.944</v>
      </c>
      <c r="AK59" s="2" t="s">
        <v>57</v>
      </c>
      <c r="AL59" s="2" t="n">
        <v>1206</v>
      </c>
      <c r="AM59" s="2" t="n">
        <v>2.26</v>
      </c>
      <c r="AN59" s="2" t="n">
        <v>7.79117372</v>
      </c>
      <c r="AO59" s="2" t="n">
        <v>500</v>
      </c>
      <c r="AP59" s="2" t="n">
        <v>2.07518</v>
      </c>
      <c r="AQ59" s="2" t="n">
        <v>0.224193427615468</v>
      </c>
      <c r="AR59" s="2" t="n">
        <v>1.64</v>
      </c>
      <c r="AS59" s="2" t="n">
        <v>2.08</v>
      </c>
      <c r="AT59" s="2" t="n">
        <v>2.50575</v>
      </c>
      <c r="AU59" s="2" t="n">
        <v>1228.926</v>
      </c>
      <c r="AV59" s="2" t="n">
        <v>3.57240088682561</v>
      </c>
      <c r="AW59" s="2" t="n">
        <v>1222</v>
      </c>
      <c r="AX59" s="2" t="n">
        <v>1229</v>
      </c>
      <c r="AY59" s="2" t="n">
        <v>1236</v>
      </c>
      <c r="AZ59" s="2" t="n">
        <v>1.54112992</v>
      </c>
      <c r="BA59" s="2" t="n">
        <v>1.49140215420625</v>
      </c>
    </row>
    <row r="60" customFormat="false" ht="15" hidden="false" customHeight="false" outlineLevel="0" collapsed="false">
      <c r="A60" s="2" t="s">
        <v>174</v>
      </c>
      <c r="B60" s="2" t="n">
        <v>2009</v>
      </c>
      <c r="C60" s="2" t="s">
        <v>136</v>
      </c>
      <c r="D60" s="2" t="s">
        <v>55</v>
      </c>
      <c r="E60" s="2" t="n">
        <v>76</v>
      </c>
      <c r="F60" s="2" t="s">
        <v>175</v>
      </c>
      <c r="G60" s="2" t="n">
        <v>48.53</v>
      </c>
      <c r="H60" s="2" t="n">
        <v>3.58</v>
      </c>
      <c r="I60" s="2" t="n">
        <v>13.79</v>
      </c>
      <c r="J60" s="2" t="n">
        <v>12.26</v>
      </c>
      <c r="K60" s="2" t="n">
        <v>0.2</v>
      </c>
      <c r="L60" s="2" t="n">
        <v>6.4</v>
      </c>
      <c r="M60" s="2" t="n">
        <v>11.52</v>
      </c>
      <c r="N60" s="2" t="n">
        <v>2.95</v>
      </c>
      <c r="O60" s="2" t="n">
        <v>0.47</v>
      </c>
      <c r="P60" s="2" t="n">
        <v>0.29</v>
      </c>
      <c r="Q60" s="2" t="n">
        <v>0.02</v>
      </c>
      <c r="R60" s="2" t="n">
        <v>98.67</v>
      </c>
      <c r="S60" s="2" t="n">
        <v>0.4563</v>
      </c>
      <c r="T60" s="2" t="n">
        <v>0.0253</v>
      </c>
      <c r="U60" s="2" t="n">
        <v>0.1529</v>
      </c>
      <c r="V60" s="2" t="n">
        <v>0.0964</v>
      </c>
      <c r="W60" s="2" t="n">
        <v>0.0016</v>
      </c>
      <c r="X60" s="2" t="n">
        <v>0.0897</v>
      </c>
      <c r="Y60" s="2" t="n">
        <v>0.1161</v>
      </c>
      <c r="Z60" s="2" t="n">
        <v>0.0538</v>
      </c>
      <c r="AA60" s="2" t="n">
        <v>0.0056</v>
      </c>
      <c r="AB60" s="2" t="n">
        <v>0.0023</v>
      </c>
      <c r="AC60" s="2" t="n">
        <v>48.1998925308974</v>
      </c>
      <c r="AD60" s="2" t="n">
        <v>0.683343143025309</v>
      </c>
      <c r="AE60" s="2" t="n">
        <v>0.250984898227183</v>
      </c>
      <c r="AF60" s="2" t="n">
        <v>0.759319816873774</v>
      </c>
      <c r="AG60" s="2" t="n">
        <v>0.20820969</v>
      </c>
      <c r="AH60" s="2" t="n">
        <v>0.01154439</v>
      </c>
      <c r="AI60" s="3" t="b">
        <f aca="false">TRUE()</f>
        <v>1</v>
      </c>
      <c r="AJ60" s="2" t="n">
        <v>0.946</v>
      </c>
      <c r="AK60" s="2" t="s">
        <v>57</v>
      </c>
      <c r="AL60" s="2" t="n">
        <v>1199</v>
      </c>
      <c r="AM60" s="2" t="n">
        <v>2.08</v>
      </c>
      <c r="AN60" s="2" t="n">
        <v>7.18198208</v>
      </c>
      <c r="AO60" s="2" t="n">
        <v>500</v>
      </c>
      <c r="AP60" s="2" t="n">
        <v>1.87466</v>
      </c>
      <c r="AQ60" s="2" t="n">
        <v>0.21200844218832</v>
      </c>
      <c r="AR60" s="2" t="n">
        <v>1.48475</v>
      </c>
      <c r="AS60" s="2" t="n">
        <v>1.87</v>
      </c>
      <c r="AT60" s="2" t="n">
        <v>2.3</v>
      </c>
      <c r="AU60" s="2" t="n">
        <v>1221.368</v>
      </c>
      <c r="AV60" s="2" t="n">
        <v>3.47746481262515</v>
      </c>
      <c r="AW60" s="2" t="n">
        <v>1214.475</v>
      </c>
      <c r="AX60" s="2" t="n">
        <v>1221</v>
      </c>
      <c r="AY60" s="2" t="n">
        <v>1228</v>
      </c>
      <c r="AZ60" s="2" t="n">
        <v>1.35000342285625</v>
      </c>
      <c r="BA60" s="2" t="n">
        <v>1.50623453</v>
      </c>
    </row>
    <row r="61" customFormat="false" ht="15" hidden="false" customHeight="false" outlineLevel="0" collapsed="false">
      <c r="A61" s="2" t="s">
        <v>176</v>
      </c>
      <c r="B61" s="2" t="n">
        <v>2009</v>
      </c>
      <c r="C61" s="2" t="s">
        <v>136</v>
      </c>
      <c r="D61" s="2" t="s">
        <v>55</v>
      </c>
      <c r="E61" s="2" t="n">
        <v>77</v>
      </c>
      <c r="F61" s="2" t="s">
        <v>177</v>
      </c>
      <c r="G61" s="2" t="n">
        <v>48.61</v>
      </c>
      <c r="H61" s="2" t="n">
        <v>3.44</v>
      </c>
      <c r="I61" s="2" t="n">
        <v>13.82</v>
      </c>
      <c r="J61" s="2" t="n">
        <v>12.04</v>
      </c>
      <c r="K61" s="2" t="n">
        <v>0.17</v>
      </c>
      <c r="L61" s="2" t="n">
        <v>6.59</v>
      </c>
      <c r="M61" s="2" t="n">
        <v>11.65</v>
      </c>
      <c r="N61" s="2" t="n">
        <v>2.91</v>
      </c>
      <c r="O61" s="2" t="n">
        <v>0.46</v>
      </c>
      <c r="P61" s="2" t="n">
        <v>0.31</v>
      </c>
      <c r="Q61" s="2" t="n">
        <v>0.02</v>
      </c>
      <c r="R61" s="2" t="n">
        <v>98.58</v>
      </c>
      <c r="S61" s="2" t="n">
        <v>0.4565</v>
      </c>
      <c r="T61" s="2" t="n">
        <v>0.0243</v>
      </c>
      <c r="U61" s="2" t="n">
        <v>0.1529</v>
      </c>
      <c r="V61" s="2" t="n">
        <v>0.0946</v>
      </c>
      <c r="W61" s="2" t="n">
        <v>0.0014</v>
      </c>
      <c r="X61" s="2" t="n">
        <v>0.0923</v>
      </c>
      <c r="Y61" s="2" t="n">
        <v>0.1172</v>
      </c>
      <c r="Z61" s="2" t="n">
        <v>0.053</v>
      </c>
      <c r="AA61" s="2" t="n">
        <v>0.0055</v>
      </c>
      <c r="AB61" s="2" t="n">
        <v>0.0025</v>
      </c>
      <c r="AC61" s="2" t="n">
        <v>49.3846976993044</v>
      </c>
      <c r="AD61" s="2" t="n">
        <v>0.688601645123384</v>
      </c>
      <c r="AE61" s="2" t="n">
        <v>0.250902527075812</v>
      </c>
      <c r="AF61" s="2" t="n">
        <v>0.76651406147809</v>
      </c>
      <c r="AG61" s="2" t="n">
        <v>0.20839225</v>
      </c>
      <c r="AH61" s="2" t="n">
        <v>0.01109295</v>
      </c>
      <c r="AI61" s="3" t="b">
        <f aca="false">TRUE()</f>
        <v>1</v>
      </c>
      <c r="AJ61" s="2" t="n">
        <v>0.944</v>
      </c>
      <c r="AK61" s="2" t="s">
        <v>57</v>
      </c>
      <c r="AL61" s="2" t="n">
        <v>1206</v>
      </c>
      <c r="AM61" s="2" t="n">
        <v>2.17</v>
      </c>
      <c r="AN61" s="2" t="n">
        <v>7.48682333</v>
      </c>
      <c r="AO61" s="2" t="n">
        <v>500</v>
      </c>
      <c r="AP61" s="2" t="n">
        <v>2.00454</v>
      </c>
      <c r="AQ61" s="2" t="n">
        <v>0.206321898623737</v>
      </c>
      <c r="AR61" s="2" t="n">
        <v>1.59</v>
      </c>
      <c r="AS61" s="2" t="n">
        <v>2.01</v>
      </c>
      <c r="AT61" s="2" t="n">
        <v>2.37</v>
      </c>
      <c r="AU61" s="2" t="n">
        <v>1226.67</v>
      </c>
      <c r="AV61" s="2" t="n">
        <v>3.94616833003585</v>
      </c>
      <c r="AW61" s="2" t="n">
        <v>1218</v>
      </c>
      <c r="AX61" s="2" t="n">
        <v>1227</v>
      </c>
      <c r="AY61" s="2" t="n">
        <v>1234.525</v>
      </c>
      <c r="AZ61" s="2" t="n">
        <v>1.47133308</v>
      </c>
      <c r="BA61" s="2" t="n">
        <v>1.26179712</v>
      </c>
    </row>
    <row r="62" customFormat="false" ht="15" hidden="false" customHeight="false" outlineLevel="0" collapsed="false">
      <c r="A62" s="2" t="s">
        <v>178</v>
      </c>
      <c r="B62" s="2" t="n">
        <v>2009</v>
      </c>
      <c r="C62" s="2" t="s">
        <v>136</v>
      </c>
      <c r="D62" s="2" t="s">
        <v>55</v>
      </c>
      <c r="E62" s="2" t="n">
        <v>78</v>
      </c>
      <c r="F62" s="2" t="s">
        <v>179</v>
      </c>
      <c r="G62" s="2" t="n">
        <v>48.63</v>
      </c>
      <c r="H62" s="2" t="n">
        <v>3.44</v>
      </c>
      <c r="I62" s="2" t="n">
        <v>13.67</v>
      </c>
      <c r="J62" s="2" t="n">
        <v>12.15</v>
      </c>
      <c r="K62" s="2" t="n">
        <v>0.22</v>
      </c>
      <c r="L62" s="2" t="n">
        <v>6.4</v>
      </c>
      <c r="M62" s="2" t="n">
        <v>11.66</v>
      </c>
      <c r="N62" s="2" t="n">
        <v>3.03</v>
      </c>
      <c r="O62" s="2" t="n">
        <v>0.47</v>
      </c>
      <c r="P62" s="2" t="n">
        <v>0.33</v>
      </c>
      <c r="Q62" s="2" t="n">
        <v>0.01</v>
      </c>
      <c r="R62" s="2" t="n">
        <v>98.78</v>
      </c>
      <c r="S62" s="2" t="n">
        <v>0.4568</v>
      </c>
      <c r="T62" s="2" t="n">
        <v>0.0243</v>
      </c>
      <c r="U62" s="2" t="n">
        <v>0.1513</v>
      </c>
      <c r="V62" s="2" t="n">
        <v>0.0954</v>
      </c>
      <c r="W62" s="2" t="n">
        <v>0.0018</v>
      </c>
      <c r="X62" s="2" t="n">
        <v>0.0896</v>
      </c>
      <c r="Y62" s="2" t="n">
        <v>0.1174</v>
      </c>
      <c r="Z62" s="2" t="n">
        <v>0.0551</v>
      </c>
      <c r="AA62" s="2" t="n">
        <v>0.0056</v>
      </c>
      <c r="AB62" s="2" t="n">
        <v>0.0027</v>
      </c>
      <c r="AC62" s="2" t="n">
        <v>48.4324324324324</v>
      </c>
      <c r="AD62" s="2" t="n">
        <v>0.680579710144927</v>
      </c>
      <c r="AE62" s="2" t="n">
        <v>0.24880776188127</v>
      </c>
      <c r="AF62" s="2" t="n">
        <v>0.775941837409121</v>
      </c>
      <c r="AG62" s="2" t="n">
        <v>0.20866624</v>
      </c>
      <c r="AH62" s="2" t="n">
        <v>0.01110024</v>
      </c>
      <c r="AI62" s="3" t="b">
        <f aca="false">TRUE()</f>
        <v>1</v>
      </c>
      <c r="AJ62" s="2" t="n">
        <v>0.945</v>
      </c>
      <c r="AK62" s="2" t="s">
        <v>57</v>
      </c>
      <c r="AL62" s="2" t="n">
        <v>1198</v>
      </c>
      <c r="AM62" s="2" t="n">
        <v>1.65</v>
      </c>
      <c r="AN62" s="2" t="n">
        <v>5.71874325</v>
      </c>
      <c r="AO62" s="2" t="n">
        <v>500</v>
      </c>
      <c r="AP62" s="2" t="n">
        <v>1.4449</v>
      </c>
      <c r="AQ62" s="2" t="n">
        <v>0.213122105995902</v>
      </c>
      <c r="AR62" s="2" t="n">
        <v>1.01</v>
      </c>
      <c r="AS62" s="2" t="n">
        <v>1.45</v>
      </c>
      <c r="AT62" s="2" t="n">
        <v>1.84525</v>
      </c>
      <c r="AU62" s="2" t="n">
        <v>1223.834</v>
      </c>
      <c r="AV62" s="2" t="n">
        <v>3.61005665025302</v>
      </c>
      <c r="AW62" s="2" t="n">
        <v>1217</v>
      </c>
      <c r="AX62" s="2" t="n">
        <v>1224</v>
      </c>
      <c r="AY62" s="2" t="n">
        <v>1231.525</v>
      </c>
      <c r="AZ62" s="2" t="n">
        <v>1.54112992</v>
      </c>
      <c r="BA62" s="2" t="n">
        <v>1.38492593135625</v>
      </c>
    </row>
    <row r="63" customFormat="false" ht="15" hidden="false" customHeight="false" outlineLevel="0" collapsed="false">
      <c r="A63" s="2" t="s">
        <v>180</v>
      </c>
      <c r="B63" s="2" t="n">
        <v>2009</v>
      </c>
      <c r="C63" s="2" t="s">
        <v>136</v>
      </c>
      <c r="D63" s="2" t="s">
        <v>55</v>
      </c>
      <c r="E63" s="2" t="n">
        <v>79</v>
      </c>
      <c r="F63" s="2" t="s">
        <v>181</v>
      </c>
      <c r="G63" s="2" t="n">
        <v>48.76</v>
      </c>
      <c r="H63" s="2" t="n">
        <v>3.46</v>
      </c>
      <c r="I63" s="2" t="n">
        <v>14.04</v>
      </c>
      <c r="J63" s="2" t="n">
        <v>11.98</v>
      </c>
      <c r="K63" s="2" t="n">
        <v>0.18</v>
      </c>
      <c r="L63" s="2" t="n">
        <v>6.61</v>
      </c>
      <c r="M63" s="2" t="n">
        <v>11.56</v>
      </c>
      <c r="N63" s="2" t="n">
        <v>2.65</v>
      </c>
      <c r="O63" s="2" t="n">
        <v>0.43</v>
      </c>
      <c r="P63" s="2" t="n">
        <v>0.33</v>
      </c>
      <c r="Q63" s="2" t="n">
        <v>0.02</v>
      </c>
      <c r="R63" s="2" t="n">
        <v>98.58</v>
      </c>
      <c r="S63" s="2" t="n">
        <v>0.4588</v>
      </c>
      <c r="T63" s="2" t="n">
        <v>0.0245</v>
      </c>
      <c r="U63" s="2" t="n">
        <v>0.1557</v>
      </c>
      <c r="V63" s="2" t="n">
        <v>0.0943</v>
      </c>
      <c r="W63" s="2" t="n">
        <v>0.0015</v>
      </c>
      <c r="X63" s="2" t="n">
        <v>0.0928</v>
      </c>
      <c r="Y63" s="2" t="n">
        <v>0.1165</v>
      </c>
      <c r="Z63" s="2" t="n">
        <v>0.0483</v>
      </c>
      <c r="AA63" s="2" t="n">
        <v>0.0051</v>
      </c>
      <c r="AB63" s="2" t="n">
        <v>0.0027</v>
      </c>
      <c r="AC63" s="2" t="n">
        <v>49.5991448423303</v>
      </c>
      <c r="AD63" s="2" t="n">
        <v>0.706917475728155</v>
      </c>
      <c r="AE63" s="2" t="n">
        <v>0.253376729048007</v>
      </c>
      <c r="AF63" s="2" t="n">
        <v>0.748233782915864</v>
      </c>
      <c r="AG63" s="2" t="n">
        <v>0.21049744</v>
      </c>
      <c r="AH63" s="2" t="n">
        <v>0.0112406</v>
      </c>
      <c r="AI63" s="3" t="b">
        <f aca="false">TRUE()</f>
        <v>1</v>
      </c>
      <c r="AJ63" s="2" t="n">
        <v>0.947</v>
      </c>
      <c r="AK63" s="2" t="s">
        <v>57</v>
      </c>
      <c r="AL63" s="2" t="n">
        <v>1196</v>
      </c>
      <c r="AM63" s="2" t="n">
        <v>2.5</v>
      </c>
      <c r="AN63" s="2" t="n">
        <v>8.600375</v>
      </c>
      <c r="AO63" s="2" t="n">
        <v>500</v>
      </c>
      <c r="AP63" s="2" t="n">
        <v>2.31288</v>
      </c>
      <c r="AQ63" s="2" t="n">
        <v>0.201802760904348</v>
      </c>
      <c r="AR63" s="2" t="n">
        <v>1.93</v>
      </c>
      <c r="AS63" s="2" t="n">
        <v>2.32</v>
      </c>
      <c r="AT63" s="2" t="n">
        <v>2.69</v>
      </c>
      <c r="AU63" s="2" t="n">
        <v>1218.814</v>
      </c>
      <c r="AV63" s="2" t="n">
        <v>3.84199503535642</v>
      </c>
      <c r="AW63" s="2" t="n">
        <v>1211</v>
      </c>
      <c r="AX63" s="2" t="n">
        <v>1219</v>
      </c>
      <c r="AY63" s="2" t="n">
        <v>1226</v>
      </c>
      <c r="AZ63" s="2" t="n">
        <v>1.36659237</v>
      </c>
      <c r="BA63" s="2" t="n">
        <v>1.29673493</v>
      </c>
    </row>
    <row r="64" customFormat="false" ht="15" hidden="false" customHeight="false" outlineLevel="0" collapsed="false">
      <c r="A64" s="2" t="s">
        <v>182</v>
      </c>
      <c r="B64" s="2" t="n">
        <v>2009</v>
      </c>
      <c r="C64" s="2" t="s">
        <v>136</v>
      </c>
      <c r="D64" s="2" t="s">
        <v>55</v>
      </c>
      <c r="E64" s="2" t="n">
        <v>80</v>
      </c>
      <c r="F64" s="2" t="s">
        <v>183</v>
      </c>
      <c r="G64" s="2" t="n">
        <v>48.53</v>
      </c>
      <c r="H64" s="2" t="n">
        <v>3.31</v>
      </c>
      <c r="I64" s="2" t="n">
        <v>13.99</v>
      </c>
      <c r="J64" s="2" t="n">
        <v>11.87</v>
      </c>
      <c r="K64" s="2" t="n">
        <v>0.2</v>
      </c>
      <c r="L64" s="2" t="n">
        <v>6.59</v>
      </c>
      <c r="M64" s="2" t="n">
        <v>11.68</v>
      </c>
      <c r="N64" s="2" t="n">
        <v>3.06</v>
      </c>
      <c r="O64" s="2" t="n">
        <v>0.47</v>
      </c>
      <c r="P64" s="2" t="n">
        <v>0.29</v>
      </c>
      <c r="Q64" s="2" t="n">
        <v>0.02</v>
      </c>
      <c r="R64" s="2" t="n">
        <v>98.7</v>
      </c>
      <c r="S64" s="2" t="n">
        <v>0.4547</v>
      </c>
      <c r="T64" s="2" t="n">
        <v>0.0234</v>
      </c>
      <c r="U64" s="2" t="n">
        <v>0.1545</v>
      </c>
      <c r="V64" s="2" t="n">
        <v>0.093</v>
      </c>
      <c r="W64" s="2" t="n">
        <v>0.0016</v>
      </c>
      <c r="X64" s="2" t="n">
        <v>0.092</v>
      </c>
      <c r="Y64" s="2" t="n">
        <v>0.1173</v>
      </c>
      <c r="Z64" s="2" t="n">
        <v>0.0556</v>
      </c>
      <c r="AA64" s="2" t="n">
        <v>0.0056</v>
      </c>
      <c r="AB64" s="2" t="n">
        <v>0.0023</v>
      </c>
      <c r="AC64" s="2" t="n">
        <v>49.7297297297297</v>
      </c>
      <c r="AD64" s="2" t="n">
        <v>0.678426836321573</v>
      </c>
      <c r="AE64" s="2" t="n">
        <v>0.253611293499672</v>
      </c>
      <c r="AF64" s="2" t="n">
        <v>0.759223300970874</v>
      </c>
      <c r="AG64" s="2" t="n">
        <v>0.20675209</v>
      </c>
      <c r="AH64" s="2" t="n">
        <v>0.01063998</v>
      </c>
      <c r="AI64" s="3" t="b">
        <f aca="false">TRUE()</f>
        <v>1</v>
      </c>
      <c r="AJ64" s="2" t="n">
        <v>0.943</v>
      </c>
      <c r="AK64" s="2" t="s">
        <v>57</v>
      </c>
      <c r="AL64" s="2" t="n">
        <v>1202</v>
      </c>
      <c r="AM64" s="2" t="n">
        <v>2.19</v>
      </c>
      <c r="AN64" s="2" t="n">
        <v>7.55449917</v>
      </c>
      <c r="AO64" s="2" t="n">
        <v>500</v>
      </c>
      <c r="AP64" s="2" t="n">
        <v>2.0022</v>
      </c>
      <c r="AQ64" s="2" t="n">
        <v>0.204342535326072</v>
      </c>
      <c r="AR64" s="2" t="n">
        <v>1.64</v>
      </c>
      <c r="AS64" s="2" t="n">
        <v>1.99</v>
      </c>
      <c r="AT64" s="2" t="n">
        <v>2.41525</v>
      </c>
      <c r="AU64" s="2" t="n">
        <v>1223.576</v>
      </c>
      <c r="AV64" s="2" t="n">
        <v>3.42690989418247</v>
      </c>
      <c r="AW64" s="2" t="n">
        <v>1217</v>
      </c>
      <c r="AX64" s="2" t="n">
        <v>1224</v>
      </c>
      <c r="AY64" s="2" t="n">
        <v>1230</v>
      </c>
      <c r="AZ64" s="2" t="n">
        <v>1.22685325</v>
      </c>
      <c r="BA64" s="2" t="n">
        <v>1.48965709685625</v>
      </c>
    </row>
    <row r="65" customFormat="false" ht="15" hidden="false" customHeight="false" outlineLevel="0" collapsed="false">
      <c r="A65" s="2" t="s">
        <v>184</v>
      </c>
      <c r="B65" s="2" t="n">
        <v>2009</v>
      </c>
      <c r="C65" s="2" t="s">
        <v>136</v>
      </c>
      <c r="D65" s="2" t="s">
        <v>55</v>
      </c>
      <c r="E65" s="2" t="n">
        <v>81</v>
      </c>
      <c r="F65" s="2" t="s">
        <v>185</v>
      </c>
      <c r="G65" s="2" t="n">
        <v>48.88</v>
      </c>
      <c r="H65" s="2" t="n">
        <v>3.35</v>
      </c>
      <c r="I65" s="2" t="n">
        <v>13.66</v>
      </c>
      <c r="J65" s="2" t="n">
        <v>12.07</v>
      </c>
      <c r="K65" s="2" t="n">
        <v>0.19</v>
      </c>
      <c r="L65" s="2" t="n">
        <v>6.66</v>
      </c>
      <c r="M65" s="2" t="n">
        <v>11.63</v>
      </c>
      <c r="N65" s="2" t="n">
        <v>2.78</v>
      </c>
      <c r="O65" s="2" t="n">
        <v>0.47</v>
      </c>
      <c r="P65" s="2" t="n">
        <v>0.32</v>
      </c>
      <c r="Q65" s="2" t="n">
        <v>0.03</v>
      </c>
      <c r="R65" s="2" t="n">
        <v>98.66</v>
      </c>
      <c r="S65" s="2" t="n">
        <v>0.4594</v>
      </c>
      <c r="T65" s="2" t="n">
        <v>0.0237</v>
      </c>
      <c r="U65" s="2" t="n">
        <v>0.1513</v>
      </c>
      <c r="V65" s="2" t="n">
        <v>0.0948</v>
      </c>
      <c r="W65" s="2" t="n">
        <v>0.0015</v>
      </c>
      <c r="X65" s="2" t="n">
        <v>0.0933</v>
      </c>
      <c r="Y65" s="2" t="n">
        <v>0.1171</v>
      </c>
      <c r="Z65" s="2" t="n">
        <v>0.0506</v>
      </c>
      <c r="AA65" s="2" t="n">
        <v>0.0056</v>
      </c>
      <c r="AB65" s="2" t="n">
        <v>0.0026</v>
      </c>
      <c r="AC65" s="2" t="n">
        <v>49.6012759170654</v>
      </c>
      <c r="AD65" s="2" t="n">
        <v>0.698270721526535</v>
      </c>
      <c r="AE65" s="2" t="n">
        <v>0.247748485344686</v>
      </c>
      <c r="AF65" s="2" t="n">
        <v>0.773959021810972</v>
      </c>
      <c r="AG65" s="2" t="n">
        <v>0.21104836</v>
      </c>
      <c r="AH65" s="2" t="n">
        <v>0.01088778</v>
      </c>
      <c r="AI65" s="3" t="b">
        <f aca="false">TRUE()</f>
        <v>1</v>
      </c>
      <c r="AJ65" s="2" t="n">
        <v>0.942</v>
      </c>
      <c r="AK65" s="2" t="s">
        <v>57</v>
      </c>
      <c r="AL65" s="2" t="n">
        <v>1205</v>
      </c>
      <c r="AM65" s="2" t="n">
        <v>2.12</v>
      </c>
      <c r="AN65" s="2" t="n">
        <v>7.31752768</v>
      </c>
      <c r="AO65" s="2" t="n">
        <v>500</v>
      </c>
      <c r="AP65" s="2" t="n">
        <v>1.93418</v>
      </c>
      <c r="AQ65" s="2" t="n">
        <v>0.204327744700785</v>
      </c>
      <c r="AR65" s="2" t="n">
        <v>1.53</v>
      </c>
      <c r="AS65" s="2" t="n">
        <v>1.93</v>
      </c>
      <c r="AT65" s="2" t="n">
        <v>2.34</v>
      </c>
      <c r="AU65" s="2" t="n">
        <v>1229.002</v>
      </c>
      <c r="AV65" s="2" t="n">
        <v>3.78081805570444</v>
      </c>
      <c r="AW65" s="2" t="n">
        <v>1222</v>
      </c>
      <c r="AX65" s="2" t="n">
        <v>1229</v>
      </c>
      <c r="AY65" s="2" t="n">
        <v>1237</v>
      </c>
      <c r="AZ65" s="2" t="n">
        <v>1.401512</v>
      </c>
      <c r="BA65" s="2" t="n">
        <v>1.43642557</v>
      </c>
    </row>
    <row r="66" customFormat="false" ht="15" hidden="false" customHeight="false" outlineLevel="0" collapsed="false">
      <c r="A66" s="2" t="s">
        <v>186</v>
      </c>
      <c r="B66" s="2" t="n">
        <v>2009</v>
      </c>
      <c r="C66" s="2" t="s">
        <v>136</v>
      </c>
      <c r="D66" s="2" t="s">
        <v>55</v>
      </c>
      <c r="E66" s="2" t="n">
        <v>82</v>
      </c>
      <c r="F66" s="2" t="s">
        <v>187</v>
      </c>
      <c r="G66" s="2" t="n">
        <v>48.97</v>
      </c>
      <c r="H66" s="2" t="n">
        <v>3.46</v>
      </c>
      <c r="I66" s="2" t="n">
        <v>13.83</v>
      </c>
      <c r="J66" s="2" t="n">
        <v>11.86</v>
      </c>
      <c r="K66" s="2" t="n">
        <v>0.22</v>
      </c>
      <c r="L66" s="2" t="n">
        <v>6.47</v>
      </c>
      <c r="M66" s="2" t="n">
        <v>11.57</v>
      </c>
      <c r="N66" s="2" t="n">
        <v>2.89</v>
      </c>
      <c r="O66" s="2" t="n">
        <v>0.41</v>
      </c>
      <c r="P66" s="2" t="n">
        <v>0.31</v>
      </c>
      <c r="Q66" s="2" t="n">
        <v>0.02</v>
      </c>
      <c r="R66" s="2" t="n">
        <v>98.94</v>
      </c>
      <c r="S66" s="2" t="n">
        <v>0.4602</v>
      </c>
      <c r="T66" s="2" t="n">
        <v>0.0244</v>
      </c>
      <c r="U66" s="2" t="n">
        <v>0.1532</v>
      </c>
      <c r="V66" s="2" t="n">
        <v>0.0932</v>
      </c>
      <c r="W66" s="2" t="n">
        <v>0.0018</v>
      </c>
      <c r="X66" s="2" t="n">
        <v>0.0906</v>
      </c>
      <c r="Y66" s="2" t="n">
        <v>0.1164</v>
      </c>
      <c r="Z66" s="2" t="n">
        <v>0.0527</v>
      </c>
      <c r="AA66" s="2" t="n">
        <v>0.005</v>
      </c>
      <c r="AB66" s="2" t="n">
        <v>0.0025</v>
      </c>
      <c r="AC66" s="2" t="n">
        <v>49.2927094668117</v>
      </c>
      <c r="AD66" s="2" t="n">
        <v>0.688350088704908</v>
      </c>
      <c r="AE66" s="2" t="n">
        <v>0.249755461362895</v>
      </c>
      <c r="AF66" s="2" t="n">
        <v>0.759791122715405</v>
      </c>
      <c r="AG66" s="2" t="n">
        <v>0.21178404</v>
      </c>
      <c r="AH66" s="2" t="n">
        <v>0.01122888</v>
      </c>
      <c r="AI66" s="3" t="b">
        <f aca="false">TRUE()</f>
        <v>1</v>
      </c>
      <c r="AJ66" s="2" t="n">
        <v>0.948</v>
      </c>
      <c r="AK66" s="2" t="s">
        <v>57</v>
      </c>
      <c r="AL66" s="2" t="n">
        <v>1194</v>
      </c>
      <c r="AM66" s="2" t="n">
        <v>1.86</v>
      </c>
      <c r="AN66" s="2" t="n">
        <v>6.43474812</v>
      </c>
      <c r="AO66" s="2" t="n">
        <v>500</v>
      </c>
      <c r="AP66" s="2" t="n">
        <v>1.67356</v>
      </c>
      <c r="AQ66" s="2" t="n">
        <v>0.212721007081359</v>
      </c>
      <c r="AR66" s="2" t="n">
        <v>1.27</v>
      </c>
      <c r="AS66" s="2" t="n">
        <v>1.68</v>
      </c>
      <c r="AT66" s="2" t="n">
        <v>2.06525</v>
      </c>
      <c r="AU66" s="2" t="n">
        <v>1218.886</v>
      </c>
      <c r="AV66" s="2" t="n">
        <v>3.67478054093685</v>
      </c>
      <c r="AW66" s="2" t="n">
        <v>1212</v>
      </c>
      <c r="AX66" s="2" t="n">
        <v>1219</v>
      </c>
      <c r="AY66" s="2" t="n">
        <v>1226</v>
      </c>
      <c r="AZ66" s="2" t="n">
        <v>1.43642557</v>
      </c>
      <c r="BA66" s="2" t="n">
        <v>1.35000342285625</v>
      </c>
    </row>
    <row r="67" customFormat="false" ht="15" hidden="false" customHeight="false" outlineLevel="0" collapsed="false">
      <c r="A67" s="2" t="s">
        <v>188</v>
      </c>
      <c r="B67" s="2" t="n">
        <v>2009</v>
      </c>
      <c r="C67" s="2" t="s">
        <v>136</v>
      </c>
      <c r="D67" s="2" t="s">
        <v>55</v>
      </c>
      <c r="E67" s="2" t="n">
        <v>83</v>
      </c>
      <c r="F67" s="2" t="s">
        <v>189</v>
      </c>
      <c r="G67" s="2" t="n">
        <v>48.55</v>
      </c>
      <c r="H67" s="2" t="n">
        <v>3.56</v>
      </c>
      <c r="I67" s="2" t="n">
        <v>13.84</v>
      </c>
      <c r="J67" s="2" t="n">
        <v>12.04</v>
      </c>
      <c r="K67" s="2" t="n">
        <v>0.2</v>
      </c>
      <c r="L67" s="2" t="n">
        <v>6.53</v>
      </c>
      <c r="M67" s="2" t="n">
        <v>11.56</v>
      </c>
      <c r="N67" s="2" t="n">
        <v>2.94</v>
      </c>
      <c r="O67" s="2" t="n">
        <v>0.48</v>
      </c>
      <c r="P67" s="2" t="n">
        <v>0.28</v>
      </c>
      <c r="Q67" s="2" t="n">
        <v>0.01</v>
      </c>
      <c r="R67" s="2" t="n">
        <v>98.56</v>
      </c>
      <c r="S67" s="2" t="n">
        <v>0.456</v>
      </c>
      <c r="T67" s="2" t="n">
        <v>0.0252</v>
      </c>
      <c r="U67" s="2" t="n">
        <v>0.1532</v>
      </c>
      <c r="V67" s="2" t="n">
        <v>0.0946</v>
      </c>
      <c r="W67" s="2" t="n">
        <v>0.0016</v>
      </c>
      <c r="X67" s="2" t="n">
        <v>0.0915</v>
      </c>
      <c r="Y67" s="2" t="n">
        <v>0.1163</v>
      </c>
      <c r="Z67" s="2" t="n">
        <v>0.0536</v>
      </c>
      <c r="AA67" s="2" t="n">
        <v>0.0057</v>
      </c>
      <c r="AB67" s="2" t="n">
        <v>0.0023</v>
      </c>
      <c r="AC67" s="2" t="n">
        <v>49.1671144545943</v>
      </c>
      <c r="AD67" s="2" t="n">
        <v>0.68452030606239</v>
      </c>
      <c r="AE67" s="2" t="n">
        <v>0.251477347340775</v>
      </c>
      <c r="AF67" s="2" t="n">
        <v>0.759138381201044</v>
      </c>
      <c r="AG67" s="2" t="n">
        <v>0.207936</v>
      </c>
      <c r="AH67" s="2" t="n">
        <v>0.0114912</v>
      </c>
      <c r="AI67" s="3" t="b">
        <f aca="false">TRUE()</f>
        <v>1</v>
      </c>
      <c r="AJ67" s="2" t="n">
        <v>0.943</v>
      </c>
      <c r="AK67" s="2" t="s">
        <v>57</v>
      </c>
      <c r="AL67" s="2" t="n">
        <v>1204</v>
      </c>
      <c r="AM67" s="2" t="n">
        <v>2.28</v>
      </c>
      <c r="AN67" s="2" t="n">
        <v>7.85874048</v>
      </c>
      <c r="AO67" s="2" t="n">
        <v>500</v>
      </c>
      <c r="AP67" s="2" t="n">
        <v>2.08158</v>
      </c>
      <c r="AQ67" s="2" t="n">
        <v>0.212021720632675</v>
      </c>
      <c r="AR67" s="2" t="n">
        <v>1.69</v>
      </c>
      <c r="AS67" s="2" t="n">
        <v>2.075</v>
      </c>
      <c r="AT67" s="2" t="n">
        <v>2.49</v>
      </c>
      <c r="AU67" s="2" t="n">
        <v>1226.428</v>
      </c>
      <c r="AV67" s="2" t="n">
        <v>3.60483087137558</v>
      </c>
      <c r="AW67" s="2" t="n">
        <v>1219</v>
      </c>
      <c r="AX67" s="2" t="n">
        <v>1226</v>
      </c>
      <c r="AY67" s="2" t="n">
        <v>1233.525</v>
      </c>
      <c r="AZ67" s="2" t="n">
        <v>1.3491302825</v>
      </c>
      <c r="BA67" s="2" t="n">
        <v>1.4538800825</v>
      </c>
    </row>
    <row r="68" customFormat="false" ht="15" hidden="false" customHeight="false" outlineLevel="0" collapsed="false">
      <c r="A68" s="2" t="s">
        <v>190</v>
      </c>
      <c r="B68" s="2" t="n">
        <v>2009</v>
      </c>
      <c r="C68" s="2" t="s">
        <v>136</v>
      </c>
      <c r="D68" s="2" t="s">
        <v>55</v>
      </c>
      <c r="E68" s="2" t="n">
        <v>84</v>
      </c>
      <c r="F68" s="2" t="s">
        <v>191</v>
      </c>
      <c r="G68" s="2" t="n">
        <v>48.72</v>
      </c>
      <c r="H68" s="2" t="n">
        <v>3.42</v>
      </c>
      <c r="I68" s="2" t="n">
        <v>13.89</v>
      </c>
      <c r="J68" s="2" t="n">
        <v>12.09</v>
      </c>
      <c r="K68" s="2" t="n">
        <v>0.23</v>
      </c>
      <c r="L68" s="2" t="n">
        <v>6.34</v>
      </c>
      <c r="M68" s="2" t="n">
        <v>11.57</v>
      </c>
      <c r="N68" s="2" t="n">
        <v>3.03</v>
      </c>
      <c r="O68" s="2" t="n">
        <v>0.47</v>
      </c>
      <c r="P68" s="2" t="n">
        <v>0.24</v>
      </c>
      <c r="Q68" s="2" t="n">
        <v>0.02</v>
      </c>
      <c r="R68" s="2" t="n">
        <v>98.74</v>
      </c>
      <c r="S68" s="2" t="n">
        <v>0.4575</v>
      </c>
      <c r="T68" s="2" t="n">
        <v>0.0242</v>
      </c>
      <c r="U68" s="2" t="n">
        <v>0.1537</v>
      </c>
      <c r="V68" s="2" t="n">
        <v>0.0949</v>
      </c>
      <c r="W68" s="2" t="n">
        <v>0.0019</v>
      </c>
      <c r="X68" s="2" t="n">
        <v>0.0888</v>
      </c>
      <c r="Y68" s="2" t="n">
        <v>0.1164</v>
      </c>
      <c r="Z68" s="2" t="n">
        <v>0.0551</v>
      </c>
      <c r="AA68" s="2" t="n">
        <v>0.0056</v>
      </c>
      <c r="AB68" s="2" t="n">
        <v>0.0019</v>
      </c>
      <c r="AC68" s="2" t="n">
        <v>48.339684267828</v>
      </c>
      <c r="AD68" s="2" t="n">
        <v>0.678717201166181</v>
      </c>
      <c r="AE68" s="2" t="n">
        <v>0.251472513089005</v>
      </c>
      <c r="AF68" s="2" t="n">
        <v>0.757319453480807</v>
      </c>
      <c r="AG68" s="2" t="n">
        <v>0.20930625</v>
      </c>
      <c r="AH68" s="2" t="n">
        <v>0.0110715</v>
      </c>
      <c r="AI68" s="3" t="b">
        <f aca="false">TRUE()</f>
        <v>1</v>
      </c>
      <c r="AJ68" s="2" t="n">
        <v>0.946</v>
      </c>
      <c r="AK68" s="2" t="s">
        <v>57</v>
      </c>
      <c r="AL68" s="2" t="n">
        <v>1194</v>
      </c>
      <c r="AM68" s="2" t="n">
        <v>1.78</v>
      </c>
      <c r="AN68" s="2" t="n">
        <v>6.16229948</v>
      </c>
      <c r="AO68" s="2" t="n">
        <v>500</v>
      </c>
      <c r="AP68" s="2" t="n">
        <v>1.60932</v>
      </c>
      <c r="AQ68" s="2" t="n">
        <v>0.20795776124233</v>
      </c>
      <c r="AR68" s="2" t="n">
        <v>1.179</v>
      </c>
      <c r="AS68" s="2" t="n">
        <v>1.61</v>
      </c>
      <c r="AT68" s="2" t="n">
        <v>2.01525</v>
      </c>
      <c r="AU68" s="2" t="n">
        <v>1215.53</v>
      </c>
      <c r="AV68" s="2" t="n">
        <v>3.60431438200508</v>
      </c>
      <c r="AW68" s="2" t="n">
        <v>1208.475</v>
      </c>
      <c r="AX68" s="2" t="n">
        <v>1216</v>
      </c>
      <c r="AY68" s="2" t="n">
        <v>1222</v>
      </c>
      <c r="AZ68" s="2" t="n">
        <v>1.5097243417</v>
      </c>
      <c r="BA68" s="2" t="n">
        <v>1.41984237985625</v>
      </c>
    </row>
    <row r="69" customFormat="false" ht="15" hidden="false" customHeight="false" outlineLevel="0" collapsed="false">
      <c r="A69" s="2" t="s">
        <v>192</v>
      </c>
      <c r="B69" s="2" t="n">
        <v>2009</v>
      </c>
      <c r="C69" s="2" t="s">
        <v>136</v>
      </c>
      <c r="D69" s="2" t="s">
        <v>55</v>
      </c>
      <c r="E69" s="2" t="n">
        <v>85</v>
      </c>
      <c r="F69" s="2" t="s">
        <v>193</v>
      </c>
      <c r="G69" s="2" t="n">
        <v>49.04</v>
      </c>
      <c r="H69" s="2" t="n">
        <v>3.36</v>
      </c>
      <c r="I69" s="2" t="n">
        <v>14.03</v>
      </c>
      <c r="J69" s="2" t="n">
        <v>11.79</v>
      </c>
      <c r="K69" s="2" t="n">
        <v>0.21</v>
      </c>
      <c r="L69" s="2" t="n">
        <v>6.54</v>
      </c>
      <c r="M69" s="2" t="n">
        <v>11.48</v>
      </c>
      <c r="N69" s="2" t="n">
        <v>2.84</v>
      </c>
      <c r="O69" s="2" t="n">
        <v>0.43</v>
      </c>
      <c r="P69" s="2" t="n">
        <v>0.28</v>
      </c>
      <c r="Q69" s="2" t="n">
        <v>0.03</v>
      </c>
      <c r="R69" s="2" t="n">
        <v>99.09</v>
      </c>
      <c r="S69" s="2" t="n">
        <v>0.4605</v>
      </c>
      <c r="T69" s="2" t="n">
        <v>0.0237</v>
      </c>
      <c r="U69" s="2" t="n">
        <v>0.1553</v>
      </c>
      <c r="V69" s="2" t="n">
        <v>0.0926</v>
      </c>
      <c r="W69" s="2" t="n">
        <v>0.0017</v>
      </c>
      <c r="X69" s="2" t="n">
        <v>0.0916</v>
      </c>
      <c r="Y69" s="2" t="n">
        <v>0.1155</v>
      </c>
      <c r="Z69" s="2" t="n">
        <v>0.0516</v>
      </c>
      <c r="AA69" s="2" t="n">
        <v>0.0052</v>
      </c>
      <c r="AB69" s="2" t="n">
        <v>0.0022</v>
      </c>
      <c r="AC69" s="2" t="n">
        <v>49.728555917481</v>
      </c>
      <c r="AD69" s="2" t="n">
        <v>0.691202872531418</v>
      </c>
      <c r="AE69" s="2" t="n">
        <v>0.252192270217603</v>
      </c>
      <c r="AF69" s="2" t="n">
        <v>0.743721828718609</v>
      </c>
      <c r="AG69" s="2" t="n">
        <v>0.21206025</v>
      </c>
      <c r="AH69" s="2" t="n">
        <v>0.01091385</v>
      </c>
      <c r="AI69" s="3" t="b">
        <f aca="false">TRUE()</f>
        <v>1</v>
      </c>
      <c r="AJ69" s="2" t="n">
        <v>0.946</v>
      </c>
      <c r="AK69" s="2" t="s">
        <v>57</v>
      </c>
      <c r="AL69" s="2" t="n">
        <v>1192</v>
      </c>
      <c r="AM69" s="2" t="n">
        <v>2.24</v>
      </c>
      <c r="AN69" s="2" t="n">
        <v>7.72358272</v>
      </c>
      <c r="AO69" s="2" t="n">
        <v>500</v>
      </c>
      <c r="AP69" s="2" t="n">
        <v>2.0652</v>
      </c>
      <c r="AQ69" s="2" t="n">
        <v>0.214460594733361</v>
      </c>
      <c r="AR69" s="2" t="n">
        <v>1.65475</v>
      </c>
      <c r="AS69" s="2" t="n">
        <v>2.07</v>
      </c>
      <c r="AT69" s="2" t="n">
        <v>2.49</v>
      </c>
      <c r="AU69" s="2" t="n">
        <v>1215.14</v>
      </c>
      <c r="AV69" s="2" t="n">
        <v>3.68341350789458</v>
      </c>
      <c r="AW69" s="2" t="n">
        <v>1208</v>
      </c>
      <c r="AX69" s="2" t="n">
        <v>1215</v>
      </c>
      <c r="AY69" s="2" t="n">
        <v>1222</v>
      </c>
      <c r="AZ69" s="2" t="n">
        <v>1.45475276835625</v>
      </c>
      <c r="BA69" s="2" t="n">
        <v>1.47133308</v>
      </c>
    </row>
    <row r="70" customFormat="false" ht="15" hidden="false" customHeight="false" outlineLevel="0" collapsed="false">
      <c r="A70" s="2" t="s">
        <v>194</v>
      </c>
      <c r="B70" s="2" t="n">
        <v>2009</v>
      </c>
      <c r="C70" s="2" t="s">
        <v>136</v>
      </c>
      <c r="D70" s="2" t="s">
        <v>55</v>
      </c>
      <c r="E70" s="2" t="n">
        <v>87</v>
      </c>
      <c r="F70" s="2" t="s">
        <v>195</v>
      </c>
      <c r="G70" s="2" t="n">
        <v>48.39</v>
      </c>
      <c r="H70" s="2" t="n">
        <v>3.53</v>
      </c>
      <c r="I70" s="2" t="n">
        <v>13.78</v>
      </c>
      <c r="J70" s="2" t="n">
        <v>12.02</v>
      </c>
      <c r="K70" s="2" t="n">
        <v>0.18</v>
      </c>
      <c r="L70" s="2" t="n">
        <v>6.7</v>
      </c>
      <c r="M70" s="2" t="n">
        <v>11.61</v>
      </c>
      <c r="N70" s="2" t="n">
        <v>3.03</v>
      </c>
      <c r="O70" s="2" t="n">
        <v>0.42</v>
      </c>
      <c r="P70" s="2" t="n">
        <v>0.33</v>
      </c>
      <c r="Q70" s="2" t="n">
        <v>0.02</v>
      </c>
      <c r="R70" s="2" t="n">
        <v>98.88</v>
      </c>
      <c r="S70" s="2" t="n">
        <v>0.4539</v>
      </c>
      <c r="T70" s="2" t="n">
        <v>0.0249</v>
      </c>
      <c r="U70" s="2" t="n">
        <v>0.1523</v>
      </c>
      <c r="V70" s="2" t="n">
        <v>0.0943</v>
      </c>
      <c r="W70" s="2" t="n">
        <v>0.0014</v>
      </c>
      <c r="X70" s="2" t="n">
        <v>0.0936</v>
      </c>
      <c r="Y70" s="2" t="n">
        <v>0.1167</v>
      </c>
      <c r="Z70" s="2" t="n">
        <v>0.0552</v>
      </c>
      <c r="AA70" s="2" t="n">
        <v>0.0051</v>
      </c>
      <c r="AB70" s="2" t="n">
        <v>0.0027</v>
      </c>
      <c r="AC70" s="2" t="n">
        <v>49.8137307078233</v>
      </c>
      <c r="AD70" s="2" t="n">
        <v>0.678883071553229</v>
      </c>
      <c r="AE70" s="2" t="n">
        <v>0.251237215440449</v>
      </c>
      <c r="AF70" s="2" t="n">
        <v>0.766250820748523</v>
      </c>
      <c r="AG70" s="2" t="n">
        <v>0.20602521</v>
      </c>
      <c r="AH70" s="2" t="n">
        <v>0.01130211</v>
      </c>
      <c r="AI70" s="3" t="b">
        <f aca="false">TRUE()</f>
        <v>1</v>
      </c>
      <c r="AJ70" s="2" t="n">
        <v>0.946</v>
      </c>
      <c r="AK70" s="2" t="s">
        <v>57</v>
      </c>
      <c r="AL70" s="2" t="n">
        <v>1211</v>
      </c>
      <c r="AM70" s="2" t="n">
        <v>2.49</v>
      </c>
      <c r="AN70" s="2" t="n">
        <v>8.56672797</v>
      </c>
      <c r="AO70" s="2" t="n">
        <v>500</v>
      </c>
      <c r="AP70" s="2" t="n">
        <v>2.30186</v>
      </c>
      <c r="AQ70" s="2" t="n">
        <v>0.217461074765293</v>
      </c>
      <c r="AR70" s="2" t="n">
        <v>1.88</v>
      </c>
      <c r="AS70" s="2" t="n">
        <v>2.3</v>
      </c>
      <c r="AT70" s="2" t="n">
        <v>2.7405</v>
      </c>
      <c r="AU70" s="2" t="n">
        <v>1233.64</v>
      </c>
      <c r="AV70" s="2" t="n">
        <v>3.59837415969857</v>
      </c>
      <c r="AW70" s="2" t="n">
        <v>1227</v>
      </c>
      <c r="AX70" s="2" t="n">
        <v>1234</v>
      </c>
      <c r="AY70" s="2" t="n">
        <v>1240</v>
      </c>
      <c r="AZ70" s="2" t="n">
        <v>1.47133308</v>
      </c>
      <c r="BA70" s="2" t="n">
        <v>1.542874530425</v>
      </c>
    </row>
    <row r="71" customFormat="false" ht="15" hidden="false" customHeight="false" outlineLevel="0" collapsed="false">
      <c r="A71" s="2" t="s">
        <v>196</v>
      </c>
      <c r="B71" s="2" t="n">
        <v>2009</v>
      </c>
      <c r="C71" s="2" t="s">
        <v>136</v>
      </c>
      <c r="D71" s="2" t="s">
        <v>55</v>
      </c>
      <c r="E71" s="2" t="n">
        <v>88</v>
      </c>
      <c r="F71" s="2" t="s">
        <v>197</v>
      </c>
      <c r="G71" s="2" t="n">
        <v>48.65</v>
      </c>
      <c r="H71" s="2" t="n">
        <v>3.42</v>
      </c>
      <c r="I71" s="2" t="n">
        <v>13.98</v>
      </c>
      <c r="J71" s="2" t="n">
        <v>11.78</v>
      </c>
      <c r="K71" s="2" t="n">
        <v>0.21</v>
      </c>
      <c r="L71" s="2" t="n">
        <v>6.54</v>
      </c>
      <c r="M71" s="2" t="n">
        <v>11.73</v>
      </c>
      <c r="N71" s="2" t="n">
        <v>2.97</v>
      </c>
      <c r="O71" s="2" t="n">
        <v>0.43</v>
      </c>
      <c r="P71" s="2" t="n">
        <v>0.29</v>
      </c>
      <c r="Q71" s="2" t="n">
        <v>0.01</v>
      </c>
      <c r="R71" s="2" t="n">
        <v>98.78</v>
      </c>
      <c r="S71" s="2" t="n">
        <v>0.4564</v>
      </c>
      <c r="T71" s="2" t="n">
        <v>0.0242</v>
      </c>
      <c r="U71" s="2" t="n">
        <v>0.1546</v>
      </c>
      <c r="V71" s="2" t="n">
        <v>0.0924</v>
      </c>
      <c r="W71" s="2" t="n">
        <v>0.0017</v>
      </c>
      <c r="X71" s="2" t="n">
        <v>0.0915</v>
      </c>
      <c r="Y71" s="2" t="n">
        <v>0.1178</v>
      </c>
      <c r="Z71" s="2" t="n">
        <v>0.054</v>
      </c>
      <c r="AA71" s="2" t="n">
        <v>0.0051</v>
      </c>
      <c r="AB71" s="2" t="n">
        <v>0.0023</v>
      </c>
      <c r="AC71" s="2" t="n">
        <v>49.7553017944535</v>
      </c>
      <c r="AD71" s="2" t="n">
        <v>0.685681024447031</v>
      </c>
      <c r="AE71" s="2" t="n">
        <v>0.253027823240589</v>
      </c>
      <c r="AF71" s="2" t="n">
        <v>0.761966364812419</v>
      </c>
      <c r="AG71" s="2" t="n">
        <v>0.20830096</v>
      </c>
      <c r="AH71" s="2" t="n">
        <v>0.01104488</v>
      </c>
      <c r="AI71" s="3" t="b">
        <f aca="false">TRUE()</f>
        <v>1</v>
      </c>
      <c r="AJ71" s="2" t="n">
        <v>0.946</v>
      </c>
      <c r="AK71" s="2" t="s">
        <v>57</v>
      </c>
      <c r="AL71" s="2" t="n">
        <v>1199</v>
      </c>
      <c r="AM71" s="2" t="n">
        <v>1.98</v>
      </c>
      <c r="AN71" s="2" t="n">
        <v>6.84269388</v>
      </c>
      <c r="AO71" s="2" t="n">
        <v>500</v>
      </c>
      <c r="AP71" s="2" t="n">
        <v>1.77776</v>
      </c>
      <c r="AQ71" s="2" t="n">
        <v>0.202440476914541</v>
      </c>
      <c r="AR71" s="2" t="n">
        <v>1.38475</v>
      </c>
      <c r="AS71" s="2" t="n">
        <v>1.78</v>
      </c>
      <c r="AT71" s="2" t="n">
        <v>2.21525</v>
      </c>
      <c r="AU71" s="2" t="n">
        <v>1221.702</v>
      </c>
      <c r="AV71" s="2" t="n">
        <v>3.82969046505279</v>
      </c>
      <c r="AW71" s="2" t="n">
        <v>1214</v>
      </c>
      <c r="AX71" s="2" t="n">
        <v>1222</v>
      </c>
      <c r="AY71" s="2" t="n">
        <v>1229.525</v>
      </c>
      <c r="AZ71" s="2" t="n">
        <v>1.38492593135625</v>
      </c>
      <c r="BA71" s="2" t="n">
        <v>1.52455536535625</v>
      </c>
    </row>
    <row r="72" customFormat="false" ht="15" hidden="false" customHeight="false" outlineLevel="0" collapsed="false">
      <c r="A72" s="2" t="s">
        <v>198</v>
      </c>
      <c r="B72" s="2" t="n">
        <v>2009</v>
      </c>
      <c r="C72" s="2" t="s">
        <v>136</v>
      </c>
      <c r="D72" s="2" t="s">
        <v>55</v>
      </c>
      <c r="E72" s="2" t="n">
        <v>89</v>
      </c>
      <c r="F72" s="2" t="s">
        <v>199</v>
      </c>
      <c r="G72" s="2" t="n">
        <v>48.55</v>
      </c>
      <c r="H72" s="2" t="n">
        <v>3.52</v>
      </c>
      <c r="I72" s="2" t="n">
        <v>13.66</v>
      </c>
      <c r="J72" s="2" t="n">
        <v>12.24</v>
      </c>
      <c r="K72" s="2" t="n">
        <v>0.21</v>
      </c>
      <c r="L72" s="2" t="n">
        <v>6.48</v>
      </c>
      <c r="M72" s="2" t="n">
        <v>11.59</v>
      </c>
      <c r="N72" s="2" t="n">
        <v>2.99</v>
      </c>
      <c r="O72" s="2" t="n">
        <v>0.47</v>
      </c>
      <c r="P72" s="2" t="n">
        <v>0.29</v>
      </c>
      <c r="Q72" s="2" t="n">
        <v>0.01</v>
      </c>
      <c r="R72" s="2" t="n">
        <v>98.21</v>
      </c>
      <c r="S72" s="2" t="n">
        <v>0.4562</v>
      </c>
      <c r="T72" s="2" t="n">
        <v>0.0249</v>
      </c>
      <c r="U72" s="2" t="n">
        <v>0.1512</v>
      </c>
      <c r="V72" s="2" t="n">
        <v>0.0962</v>
      </c>
      <c r="W72" s="2" t="n">
        <v>0.0017</v>
      </c>
      <c r="X72" s="2" t="n">
        <v>0.0907</v>
      </c>
      <c r="Y72" s="2" t="n">
        <v>0.1167</v>
      </c>
      <c r="Z72" s="2" t="n">
        <v>0.0545</v>
      </c>
      <c r="AA72" s="2" t="n">
        <v>0.0056</v>
      </c>
      <c r="AB72" s="2" t="n">
        <v>0.0023</v>
      </c>
      <c r="AC72" s="2" t="n">
        <v>48.5286249331193</v>
      </c>
      <c r="AD72" s="2" t="n">
        <v>0.681658878504673</v>
      </c>
      <c r="AE72" s="2" t="n">
        <v>0.248929864998354</v>
      </c>
      <c r="AF72" s="2" t="n">
        <v>0.771825396825397</v>
      </c>
      <c r="AG72" s="2" t="n">
        <v>0.20811844</v>
      </c>
      <c r="AH72" s="2" t="n">
        <v>0.01135938</v>
      </c>
      <c r="AI72" s="3" t="b">
        <f aca="false">TRUE()</f>
        <v>1</v>
      </c>
      <c r="AJ72" s="2" t="n">
        <v>0.945</v>
      </c>
      <c r="AK72" s="2" t="s">
        <v>57</v>
      </c>
      <c r="AL72" s="2" t="n">
        <v>1205</v>
      </c>
      <c r="AM72" s="2" t="n">
        <v>1.98</v>
      </c>
      <c r="AN72" s="2" t="n">
        <v>6.84269388</v>
      </c>
      <c r="AO72" s="2" t="n">
        <v>500</v>
      </c>
      <c r="AP72" s="2" t="n">
        <v>1.80236</v>
      </c>
      <c r="AQ72" s="2" t="n">
        <v>0.211452724999749</v>
      </c>
      <c r="AR72" s="2" t="n">
        <v>1.41</v>
      </c>
      <c r="AS72" s="2" t="n">
        <v>1.8</v>
      </c>
      <c r="AT72" s="2" t="n">
        <v>2.21</v>
      </c>
      <c r="AU72" s="2" t="n">
        <v>1227.234</v>
      </c>
      <c r="AV72" s="2" t="n">
        <v>3.75438874781761</v>
      </c>
      <c r="AW72" s="2" t="n">
        <v>1220</v>
      </c>
      <c r="AX72" s="2" t="n">
        <v>1227</v>
      </c>
      <c r="AY72" s="2" t="n">
        <v>1234</v>
      </c>
      <c r="AZ72" s="2" t="n">
        <v>1.36659237</v>
      </c>
      <c r="BA72" s="2" t="n">
        <v>1.43642557</v>
      </c>
    </row>
    <row r="73" customFormat="false" ht="15" hidden="false" customHeight="false" outlineLevel="0" collapsed="false">
      <c r="A73" s="2" t="s">
        <v>200</v>
      </c>
      <c r="B73" s="2" t="n">
        <v>2009</v>
      </c>
      <c r="C73" s="2" t="s">
        <v>136</v>
      </c>
      <c r="D73" s="2" t="s">
        <v>55</v>
      </c>
      <c r="E73" s="2" t="n">
        <v>91</v>
      </c>
      <c r="F73" s="2" t="s">
        <v>201</v>
      </c>
      <c r="G73" s="2" t="n">
        <v>48.48</v>
      </c>
      <c r="H73" s="2" t="n">
        <v>3.37</v>
      </c>
      <c r="I73" s="2" t="n">
        <v>13.77</v>
      </c>
      <c r="J73" s="2" t="n">
        <v>11.97</v>
      </c>
      <c r="K73" s="2" t="n">
        <v>0.23</v>
      </c>
      <c r="L73" s="2" t="n">
        <v>6.61</v>
      </c>
      <c r="M73" s="2" t="n">
        <v>11.68</v>
      </c>
      <c r="N73" s="2" t="n">
        <v>3.14</v>
      </c>
      <c r="O73" s="2" t="n">
        <v>0.46</v>
      </c>
      <c r="P73" s="2" t="n">
        <v>0.29</v>
      </c>
      <c r="Q73" s="2" t="n">
        <v>0.02</v>
      </c>
      <c r="R73" s="2" t="n">
        <v>98.49</v>
      </c>
      <c r="S73" s="2" t="n">
        <v>0.4542</v>
      </c>
      <c r="T73" s="2" t="n">
        <v>0.0238</v>
      </c>
      <c r="U73" s="2" t="n">
        <v>0.152</v>
      </c>
      <c r="V73" s="2" t="n">
        <v>0.0938</v>
      </c>
      <c r="W73" s="2" t="n">
        <v>0.0019</v>
      </c>
      <c r="X73" s="2" t="n">
        <v>0.0923</v>
      </c>
      <c r="Y73" s="2" t="n">
        <v>0.1172</v>
      </c>
      <c r="Z73" s="2" t="n">
        <v>0.057</v>
      </c>
      <c r="AA73" s="2" t="n">
        <v>0.0055</v>
      </c>
      <c r="AB73" s="2" t="n">
        <v>0.0023</v>
      </c>
      <c r="AC73" s="2" t="n">
        <v>49.5969908651263</v>
      </c>
      <c r="AD73" s="2" t="n">
        <v>0.672789896670494</v>
      </c>
      <c r="AE73" s="2" t="n">
        <v>0.250742329264269</v>
      </c>
      <c r="AF73" s="2" t="n">
        <v>0.771052631578947</v>
      </c>
      <c r="AG73" s="2" t="n">
        <v>0.20629764</v>
      </c>
      <c r="AH73" s="2" t="n">
        <v>0.01080996</v>
      </c>
      <c r="AI73" s="3" t="b">
        <f aca="false">TRUE()</f>
        <v>1</v>
      </c>
      <c r="AJ73" s="2" t="n">
        <v>0.943</v>
      </c>
      <c r="AK73" s="2" t="s">
        <v>57</v>
      </c>
      <c r="AL73" s="2" t="n">
        <v>1207</v>
      </c>
      <c r="AM73" s="2" t="n">
        <v>2.13</v>
      </c>
      <c r="AN73" s="2" t="n">
        <v>7.35139893</v>
      </c>
      <c r="AO73" s="2" t="n">
        <v>500</v>
      </c>
      <c r="AP73" s="2" t="n">
        <v>1.9159</v>
      </c>
      <c r="AQ73" s="2" t="n">
        <v>0.223953791218641</v>
      </c>
      <c r="AR73" s="2" t="n">
        <v>1.48</v>
      </c>
      <c r="AS73" s="2" t="n">
        <v>1.91</v>
      </c>
      <c r="AT73" s="2" t="n">
        <v>2.35</v>
      </c>
      <c r="AU73" s="2" t="n">
        <v>1229.916</v>
      </c>
      <c r="AV73" s="2" t="n">
        <v>3.71814378236947</v>
      </c>
      <c r="AW73" s="2" t="n">
        <v>1222</v>
      </c>
      <c r="AX73" s="2" t="n">
        <v>1230</v>
      </c>
      <c r="AY73" s="2" t="n">
        <v>1236.525</v>
      </c>
      <c r="AZ73" s="2" t="n">
        <v>1.50623453</v>
      </c>
      <c r="BA73" s="2" t="n">
        <v>1.54112992</v>
      </c>
    </row>
    <row r="74" customFormat="false" ht="15" hidden="false" customHeight="false" outlineLevel="0" collapsed="false">
      <c r="A74" s="2" t="s">
        <v>202</v>
      </c>
      <c r="B74" s="2" t="n">
        <v>2009</v>
      </c>
      <c r="C74" s="2" t="s">
        <v>136</v>
      </c>
      <c r="D74" s="2" t="s">
        <v>55</v>
      </c>
      <c r="E74" s="2" t="n">
        <v>92</v>
      </c>
      <c r="F74" s="2" t="s">
        <v>203</v>
      </c>
      <c r="G74" s="2" t="n">
        <v>48.45</v>
      </c>
      <c r="H74" s="2" t="n">
        <v>3.45</v>
      </c>
      <c r="I74" s="2" t="n">
        <v>13.96</v>
      </c>
      <c r="J74" s="2" t="n">
        <v>11.9</v>
      </c>
      <c r="K74" s="2" t="n">
        <v>0.2</v>
      </c>
      <c r="L74" s="2" t="n">
        <v>6.66</v>
      </c>
      <c r="M74" s="2" t="n">
        <v>11.67</v>
      </c>
      <c r="N74" s="2" t="n">
        <v>2.96</v>
      </c>
      <c r="O74" s="2" t="n">
        <v>0.45</v>
      </c>
      <c r="P74" s="2" t="n">
        <v>0.29</v>
      </c>
      <c r="Q74" s="2" t="n">
        <v>0.02</v>
      </c>
      <c r="R74" s="2" t="n">
        <v>97.64</v>
      </c>
      <c r="S74" s="2" t="n">
        <v>0.4545</v>
      </c>
      <c r="T74" s="2" t="n">
        <v>0.0244</v>
      </c>
      <c r="U74" s="2" t="n">
        <v>0.1543</v>
      </c>
      <c r="V74" s="2" t="n">
        <v>0.0934</v>
      </c>
      <c r="W74" s="2" t="n">
        <v>0.0016</v>
      </c>
      <c r="X74" s="2" t="n">
        <v>0.0931</v>
      </c>
      <c r="Y74" s="2" t="n">
        <v>0.1172</v>
      </c>
      <c r="Z74" s="2" t="n">
        <v>0.0538</v>
      </c>
      <c r="AA74" s="2" t="n">
        <v>0.0054</v>
      </c>
      <c r="AB74" s="2" t="n">
        <v>0.0023</v>
      </c>
      <c r="AC74" s="2" t="n">
        <v>49.9195710455764</v>
      </c>
      <c r="AD74" s="2" t="n">
        <v>0.685380116959064</v>
      </c>
      <c r="AE74" s="2" t="n">
        <v>0.253449408672799</v>
      </c>
      <c r="AF74" s="2" t="n">
        <v>0.759559300064809</v>
      </c>
      <c r="AG74" s="2" t="n">
        <v>0.20657025</v>
      </c>
      <c r="AH74" s="2" t="n">
        <v>0.0110898</v>
      </c>
      <c r="AI74" s="3" t="b">
        <f aca="false">TRUE()</f>
        <v>1</v>
      </c>
      <c r="AJ74" s="2" t="n">
        <v>0.944</v>
      </c>
      <c r="AK74" s="2" t="s">
        <v>57</v>
      </c>
      <c r="AL74" s="2" t="n">
        <v>1206</v>
      </c>
      <c r="AM74" s="2" t="n">
        <v>2.43</v>
      </c>
      <c r="AN74" s="2" t="n">
        <v>8.36471853</v>
      </c>
      <c r="AO74" s="2" t="n">
        <v>500</v>
      </c>
      <c r="AP74" s="2" t="n">
        <v>2.23598</v>
      </c>
      <c r="AQ74" s="2" t="n">
        <v>0.224222637533245</v>
      </c>
      <c r="AR74" s="2" t="n">
        <v>1.81425</v>
      </c>
      <c r="AS74" s="2" t="n">
        <v>2.23</v>
      </c>
      <c r="AT74" s="2" t="n">
        <v>2.67</v>
      </c>
      <c r="AU74" s="2" t="n">
        <v>1227.976</v>
      </c>
      <c r="AV74" s="2" t="n">
        <v>3.76720156286208</v>
      </c>
      <c r="AW74" s="2" t="n">
        <v>1220.475</v>
      </c>
      <c r="AX74" s="2" t="n">
        <v>1228</v>
      </c>
      <c r="AY74" s="2" t="n">
        <v>1235</v>
      </c>
      <c r="AZ74" s="2" t="n">
        <v>1.45649812870625</v>
      </c>
      <c r="BA74" s="2" t="n">
        <v>1.54112992</v>
      </c>
    </row>
    <row r="75" customFormat="false" ht="15" hidden="false" customHeight="false" outlineLevel="0" collapsed="false">
      <c r="A75" s="2" t="s">
        <v>204</v>
      </c>
      <c r="B75" s="2" t="n">
        <v>2009</v>
      </c>
      <c r="C75" s="2" t="s">
        <v>136</v>
      </c>
      <c r="D75" s="2" t="s">
        <v>55</v>
      </c>
      <c r="E75" s="2" t="n">
        <v>93</v>
      </c>
      <c r="F75" s="2" t="s">
        <v>205</v>
      </c>
      <c r="G75" s="2" t="n">
        <v>48.47</v>
      </c>
      <c r="H75" s="2" t="n">
        <v>3.51</v>
      </c>
      <c r="I75" s="2" t="n">
        <v>13.71</v>
      </c>
      <c r="J75" s="2" t="n">
        <v>12.33</v>
      </c>
      <c r="K75" s="2" t="n">
        <v>0.21</v>
      </c>
      <c r="L75" s="2" t="n">
        <v>6.52</v>
      </c>
      <c r="M75" s="2" t="n">
        <v>11.53</v>
      </c>
      <c r="N75" s="2" t="n">
        <v>2.99</v>
      </c>
      <c r="O75" s="2" t="n">
        <v>0.47</v>
      </c>
      <c r="P75" s="2" t="n">
        <v>0.26</v>
      </c>
      <c r="Q75" s="2" t="n">
        <v>0.02</v>
      </c>
      <c r="R75" s="2" t="n">
        <v>98.48</v>
      </c>
      <c r="S75" s="2" t="n">
        <v>0.4554</v>
      </c>
      <c r="T75" s="2" t="n">
        <v>0.0248</v>
      </c>
      <c r="U75" s="2" t="n">
        <v>0.1518</v>
      </c>
      <c r="V75" s="2" t="n">
        <v>0.0969</v>
      </c>
      <c r="W75" s="2" t="n">
        <v>0.0017</v>
      </c>
      <c r="X75" s="2" t="n">
        <v>0.0913</v>
      </c>
      <c r="Y75" s="2" t="n">
        <v>0.116</v>
      </c>
      <c r="Z75" s="2" t="n">
        <v>0.0544</v>
      </c>
      <c r="AA75" s="2" t="n">
        <v>0.0056</v>
      </c>
      <c r="AB75" s="2" t="n">
        <v>0.0021</v>
      </c>
      <c r="AC75" s="2" t="n">
        <v>48.5122210414453</v>
      </c>
      <c r="AD75" s="2" t="n">
        <v>0.68075117370892</v>
      </c>
      <c r="AE75" s="2" t="n">
        <v>0.25</v>
      </c>
      <c r="AF75" s="2" t="n">
        <v>0.764163372859025</v>
      </c>
      <c r="AG75" s="2" t="n">
        <v>0.20738916</v>
      </c>
      <c r="AH75" s="2" t="n">
        <v>0.01129392</v>
      </c>
      <c r="AI75" s="3" t="b">
        <f aca="false">TRUE()</f>
        <v>1</v>
      </c>
      <c r="AJ75" s="2" t="n">
        <v>0.945</v>
      </c>
      <c r="AK75" s="2" t="s">
        <v>57</v>
      </c>
      <c r="AL75" s="2" t="n">
        <v>1205</v>
      </c>
      <c r="AM75" s="2" t="n">
        <v>2.27</v>
      </c>
      <c r="AN75" s="2" t="n">
        <v>7.82496013</v>
      </c>
      <c r="AO75" s="2" t="n">
        <v>500</v>
      </c>
      <c r="AP75" s="2" t="n">
        <v>2.09668</v>
      </c>
      <c r="AQ75" s="2" t="n">
        <v>0.227015527441184</v>
      </c>
      <c r="AR75" s="2" t="n">
        <v>1.67475</v>
      </c>
      <c r="AS75" s="2" t="n">
        <v>2.075</v>
      </c>
      <c r="AT75" s="2" t="n">
        <v>2.51</v>
      </c>
      <c r="AU75" s="2" t="n">
        <v>1226.842</v>
      </c>
      <c r="AV75" s="2" t="n">
        <v>3.56236113184322</v>
      </c>
      <c r="AW75" s="2" t="n">
        <v>1220.475</v>
      </c>
      <c r="AX75" s="2" t="n">
        <v>1227</v>
      </c>
      <c r="AY75" s="2" t="n">
        <v>1234</v>
      </c>
      <c r="AZ75" s="2" t="n">
        <v>1.40238491310625</v>
      </c>
      <c r="BA75" s="2" t="n">
        <v>1.5236829825</v>
      </c>
    </row>
    <row r="76" customFormat="false" ht="15" hidden="false" customHeight="false" outlineLevel="0" collapsed="false">
      <c r="A76" s="2" t="s">
        <v>206</v>
      </c>
      <c r="B76" s="2" t="n">
        <v>2009</v>
      </c>
      <c r="C76" s="2" t="s">
        <v>136</v>
      </c>
      <c r="D76" s="2" t="s">
        <v>55</v>
      </c>
      <c r="E76" s="2" t="n">
        <v>94</v>
      </c>
      <c r="F76" s="2" t="s">
        <v>207</v>
      </c>
      <c r="G76" s="2" t="n">
        <v>48.64</v>
      </c>
      <c r="H76" s="2" t="n">
        <v>3.38</v>
      </c>
      <c r="I76" s="2" t="n">
        <v>13.87</v>
      </c>
      <c r="J76" s="2" t="n">
        <v>11.93</v>
      </c>
      <c r="K76" s="2" t="n">
        <v>0.17</v>
      </c>
      <c r="L76" s="2" t="n">
        <v>6.57</v>
      </c>
      <c r="M76" s="2" t="n">
        <v>11.8</v>
      </c>
      <c r="N76" s="2" t="n">
        <v>2.89</v>
      </c>
      <c r="O76" s="2" t="n">
        <v>0.47</v>
      </c>
      <c r="P76" s="2" t="n">
        <v>0.28</v>
      </c>
      <c r="Q76" s="2" t="n">
        <v>0.03</v>
      </c>
      <c r="R76" s="2" t="n">
        <v>98.37</v>
      </c>
      <c r="S76" s="2" t="n">
        <v>0.4566</v>
      </c>
      <c r="T76" s="2" t="n">
        <v>0.0238</v>
      </c>
      <c r="U76" s="2" t="n">
        <v>0.1534</v>
      </c>
      <c r="V76" s="2" t="n">
        <v>0.0936</v>
      </c>
      <c r="W76" s="2" t="n">
        <v>0.0014</v>
      </c>
      <c r="X76" s="2" t="n">
        <v>0.0919</v>
      </c>
      <c r="Y76" s="2" t="n">
        <v>0.1187</v>
      </c>
      <c r="Z76" s="2" t="n">
        <v>0.0526</v>
      </c>
      <c r="AA76" s="2" t="n">
        <v>0.0056</v>
      </c>
      <c r="AB76" s="2" t="n">
        <v>0.0023</v>
      </c>
      <c r="AC76" s="2" t="n">
        <v>49.5417789757412</v>
      </c>
      <c r="AD76" s="2" t="n">
        <v>0.692936368943374</v>
      </c>
      <c r="AE76" s="2" t="n">
        <v>0.251475409836066</v>
      </c>
      <c r="AF76" s="2" t="n">
        <v>0.773794002607562</v>
      </c>
      <c r="AG76" s="2" t="n">
        <v>0.20848356</v>
      </c>
      <c r="AH76" s="2" t="n">
        <v>0.01086708</v>
      </c>
      <c r="AI76" s="3" t="b">
        <f aca="false">TRUE()</f>
        <v>1</v>
      </c>
      <c r="AJ76" s="2" t="n">
        <v>0.942</v>
      </c>
      <c r="AK76" s="2" t="s">
        <v>57</v>
      </c>
      <c r="AL76" s="2" t="n">
        <v>1204</v>
      </c>
      <c r="AM76" s="2" t="n">
        <v>1.87</v>
      </c>
      <c r="AN76" s="2" t="n">
        <v>6.46877693</v>
      </c>
      <c r="AO76" s="2" t="n">
        <v>500</v>
      </c>
      <c r="AP76" s="2" t="n">
        <v>1.69254</v>
      </c>
      <c r="AQ76" s="2" t="n">
        <v>0.204578231749645</v>
      </c>
      <c r="AR76" s="2" t="n">
        <v>1.28475</v>
      </c>
      <c r="AS76" s="2" t="n">
        <v>1.7</v>
      </c>
      <c r="AT76" s="2" t="n">
        <v>2.07525</v>
      </c>
      <c r="AU76" s="2" t="n">
        <v>1225.634</v>
      </c>
      <c r="AV76" s="2" t="n">
        <v>3.75129156114977</v>
      </c>
      <c r="AW76" s="2" t="n">
        <v>1218</v>
      </c>
      <c r="AX76" s="2" t="n">
        <v>1226</v>
      </c>
      <c r="AY76" s="2" t="n">
        <v>1233</v>
      </c>
      <c r="AZ76" s="2" t="n">
        <v>1.45475276835625</v>
      </c>
      <c r="BA76" s="2" t="n">
        <v>1.31507485435625</v>
      </c>
    </row>
    <row r="77" customFormat="false" ht="15" hidden="false" customHeight="false" outlineLevel="0" collapsed="false">
      <c r="A77" s="2" t="s">
        <v>208</v>
      </c>
      <c r="B77" s="2" t="n">
        <v>2009</v>
      </c>
      <c r="C77" s="2" t="s">
        <v>136</v>
      </c>
      <c r="D77" s="2" t="s">
        <v>55</v>
      </c>
      <c r="E77" s="2" t="n">
        <v>95</v>
      </c>
      <c r="F77" s="2" t="s">
        <v>209</v>
      </c>
      <c r="G77" s="2" t="n">
        <v>48.99</v>
      </c>
      <c r="H77" s="2" t="n">
        <v>3.37</v>
      </c>
      <c r="I77" s="2" t="n">
        <v>14.01</v>
      </c>
      <c r="J77" s="2" t="n">
        <v>11.62</v>
      </c>
      <c r="K77" s="2" t="n">
        <v>0.17</v>
      </c>
      <c r="L77" s="2" t="n">
        <v>6.52</v>
      </c>
      <c r="M77" s="2" t="n">
        <v>11.67</v>
      </c>
      <c r="N77" s="2" t="n">
        <v>2.84</v>
      </c>
      <c r="O77" s="2" t="n">
        <v>0.48</v>
      </c>
      <c r="P77" s="2" t="n">
        <v>0.32</v>
      </c>
      <c r="Q77" s="2" t="n">
        <v>0.05</v>
      </c>
      <c r="R77" s="2" t="n">
        <v>98.04</v>
      </c>
      <c r="S77" s="2" t="n">
        <v>0.46</v>
      </c>
      <c r="T77" s="2" t="n">
        <v>0.0238</v>
      </c>
      <c r="U77" s="2" t="n">
        <v>0.155</v>
      </c>
      <c r="V77" s="2" t="n">
        <v>0.0913</v>
      </c>
      <c r="W77" s="2" t="n">
        <v>0.0014</v>
      </c>
      <c r="X77" s="2" t="n">
        <v>0.0913</v>
      </c>
      <c r="Y77" s="2" t="n">
        <v>0.1174</v>
      </c>
      <c r="Z77" s="2" t="n">
        <v>0.0516</v>
      </c>
      <c r="AA77" s="2" t="n">
        <v>0.0057</v>
      </c>
      <c r="AB77" s="2" t="n">
        <v>0.0025</v>
      </c>
      <c r="AC77" s="2" t="n">
        <v>50</v>
      </c>
      <c r="AD77" s="2" t="n">
        <v>0.694674556213018</v>
      </c>
      <c r="AE77" s="2" t="n">
        <v>0.252032520325203</v>
      </c>
      <c r="AF77" s="2" t="n">
        <v>0.75741935483871</v>
      </c>
      <c r="AG77" s="2" t="n">
        <v>0.2116</v>
      </c>
      <c r="AH77" s="2" t="n">
        <v>0.010948</v>
      </c>
      <c r="AI77" s="3" t="b">
        <f aca="false">TRUE()</f>
        <v>1</v>
      </c>
      <c r="AJ77" s="2" t="n">
        <v>0.94</v>
      </c>
      <c r="AK77" s="2" t="s">
        <v>57</v>
      </c>
      <c r="AL77" s="2" t="n">
        <v>1197</v>
      </c>
      <c r="AM77" s="2" t="n">
        <v>1.87</v>
      </c>
      <c r="AN77" s="2" t="n">
        <v>6.46877693</v>
      </c>
      <c r="AO77" s="2" t="n">
        <v>500</v>
      </c>
      <c r="AP77" s="2" t="n">
        <v>1.68818</v>
      </c>
      <c r="AQ77" s="2" t="n">
        <v>0.214765770719044</v>
      </c>
      <c r="AR77" s="2" t="n">
        <v>1.25475</v>
      </c>
      <c r="AS77" s="2" t="n">
        <v>1.695</v>
      </c>
      <c r="AT77" s="2" t="n">
        <v>2.1305</v>
      </c>
      <c r="AU77" s="2" t="n">
        <v>1218.23</v>
      </c>
      <c r="AV77" s="2" t="n">
        <v>3.49650555586637</v>
      </c>
      <c r="AW77" s="2" t="n">
        <v>1212</v>
      </c>
      <c r="AX77" s="2" t="n">
        <v>1218</v>
      </c>
      <c r="AY77" s="2" t="n">
        <v>1225</v>
      </c>
      <c r="AZ77" s="2" t="n">
        <v>1.54200222710625</v>
      </c>
      <c r="BA77" s="2" t="n">
        <v>1.525427744425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3" min="10" style="0" width="9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210</v>
      </c>
      <c r="F1" s="1" t="s">
        <v>4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218</v>
      </c>
      <c r="O1" s="1" t="s">
        <v>219</v>
      </c>
      <c r="P1" s="1" t="s">
        <v>220</v>
      </c>
      <c r="Q1" s="1" t="s">
        <v>221</v>
      </c>
    </row>
    <row r="2" customFormat="false" ht="15" hidden="false" customHeight="false" outlineLevel="0" collapsed="false">
      <c r="A2" s="2" t="s">
        <v>53</v>
      </c>
      <c r="B2" s="2" t="n">
        <v>2009</v>
      </c>
      <c r="C2" s="2" t="s">
        <v>54</v>
      </c>
      <c r="D2" s="2" t="s">
        <v>55</v>
      </c>
      <c r="E2" s="2" t="s">
        <v>135</v>
      </c>
      <c r="F2" s="2" t="n">
        <v>17</v>
      </c>
      <c r="G2" s="2" t="n">
        <v>0.37</v>
      </c>
      <c r="H2" s="2" t="n">
        <v>1.39</v>
      </c>
      <c r="I2" s="2" t="n">
        <v>0.71</v>
      </c>
      <c r="J2" s="2" t="n">
        <v>1.02</v>
      </c>
      <c r="K2" s="2" t="n">
        <v>12.57</v>
      </c>
      <c r="L2" s="2" t="n">
        <v>1</v>
      </c>
      <c r="M2" s="2" t="n">
        <v>0.6</v>
      </c>
      <c r="N2" s="2" t="n">
        <v>2.93</v>
      </c>
      <c r="O2" s="2" t="n">
        <v>4.49</v>
      </c>
      <c r="P2" s="2" t="n">
        <v>12.91</v>
      </c>
      <c r="Q2" s="2" t="n">
        <v>46.14</v>
      </c>
    </row>
    <row r="3" customFormat="false" ht="15" hidden="false" customHeight="false" outlineLevel="0" collapsed="false">
      <c r="A3" s="2" t="s">
        <v>58</v>
      </c>
      <c r="B3" s="2" t="n">
        <v>2009</v>
      </c>
      <c r="C3" s="2" t="s">
        <v>54</v>
      </c>
      <c r="D3" s="2" t="s">
        <v>55</v>
      </c>
      <c r="E3" s="2" t="s">
        <v>138</v>
      </c>
      <c r="F3" s="2" t="n">
        <v>18</v>
      </c>
      <c r="G3" s="2" t="n">
        <v>0.37</v>
      </c>
      <c r="H3" s="2" t="n">
        <v>1.39</v>
      </c>
      <c r="I3" s="2" t="n">
        <v>0.71</v>
      </c>
      <c r="J3" s="2" t="n">
        <v>1.02</v>
      </c>
      <c r="K3" s="2" t="n">
        <v>10.38</v>
      </c>
      <c r="L3" s="2" t="n">
        <v>1</v>
      </c>
      <c r="M3" s="2" t="n">
        <v>0.6</v>
      </c>
      <c r="N3" s="2" t="n">
        <v>2.92</v>
      </c>
      <c r="O3" s="2" t="n">
        <v>4.03</v>
      </c>
      <c r="P3" s="2" t="n">
        <v>12.42</v>
      </c>
      <c r="Q3" s="2" t="n">
        <v>38.12</v>
      </c>
    </row>
    <row r="4" customFormat="false" ht="15" hidden="false" customHeight="false" outlineLevel="0" collapsed="false">
      <c r="A4" s="2" t="s">
        <v>60</v>
      </c>
      <c r="B4" s="2" t="n">
        <v>2009</v>
      </c>
      <c r="C4" s="2" t="s">
        <v>54</v>
      </c>
      <c r="D4" s="2" t="s">
        <v>55</v>
      </c>
      <c r="E4" s="2" t="s">
        <v>140</v>
      </c>
      <c r="F4" s="2" t="n">
        <v>19</v>
      </c>
      <c r="G4" s="2" t="n">
        <v>0.37</v>
      </c>
      <c r="H4" s="2" t="n">
        <v>1.36</v>
      </c>
      <c r="I4" s="2" t="n">
        <v>0.72</v>
      </c>
      <c r="J4" s="2" t="n">
        <v>1</v>
      </c>
      <c r="K4" s="2" t="n">
        <v>12.3</v>
      </c>
      <c r="L4" s="2" t="n">
        <v>1</v>
      </c>
      <c r="M4" s="2" t="n">
        <v>0.61</v>
      </c>
      <c r="N4" s="2" t="n">
        <v>2.91</v>
      </c>
      <c r="O4" s="2" t="n">
        <v>4.24</v>
      </c>
      <c r="P4" s="2" t="n">
        <v>9.26</v>
      </c>
      <c r="Q4" s="2" t="n">
        <v>53.44</v>
      </c>
    </row>
    <row r="5" customFormat="false" ht="15" hidden="false" customHeight="false" outlineLevel="0" collapsed="false">
      <c r="A5" s="2" t="s">
        <v>62</v>
      </c>
      <c r="B5" s="2" t="n">
        <v>2009</v>
      </c>
      <c r="C5" s="2" t="s">
        <v>54</v>
      </c>
      <c r="D5" s="2" t="s">
        <v>55</v>
      </c>
      <c r="E5" s="2" t="s">
        <v>142</v>
      </c>
      <c r="F5" s="2" t="n">
        <v>20</v>
      </c>
      <c r="G5" s="2" t="n">
        <v>0.37</v>
      </c>
      <c r="H5" s="2" t="n">
        <v>1.38</v>
      </c>
      <c r="I5" s="2" t="n">
        <v>0.71</v>
      </c>
      <c r="J5" s="2" t="n">
        <v>1.01</v>
      </c>
      <c r="K5" s="2" t="n">
        <v>10.45</v>
      </c>
      <c r="L5" s="2" t="n">
        <v>0.98</v>
      </c>
      <c r="M5" s="2" t="n">
        <v>0.6</v>
      </c>
      <c r="N5" s="2" t="n">
        <v>2.95</v>
      </c>
      <c r="O5" s="2" t="n">
        <v>4.38</v>
      </c>
      <c r="P5" s="2" t="n">
        <v>12.03</v>
      </c>
      <c r="Q5" s="2" t="n">
        <v>65.09</v>
      </c>
    </row>
    <row r="6" customFormat="false" ht="15" hidden="false" customHeight="false" outlineLevel="0" collapsed="false">
      <c r="A6" s="2" t="s">
        <v>64</v>
      </c>
      <c r="B6" s="2" t="n">
        <v>2009</v>
      </c>
      <c r="C6" s="2" t="s">
        <v>54</v>
      </c>
      <c r="D6" s="2" t="s">
        <v>55</v>
      </c>
      <c r="E6" s="2" t="s">
        <v>144</v>
      </c>
      <c r="F6" s="2" t="n">
        <v>21</v>
      </c>
      <c r="G6" s="2" t="n">
        <v>0.37</v>
      </c>
      <c r="H6" s="2" t="n">
        <v>1.34</v>
      </c>
      <c r="I6" s="2" t="n">
        <v>0.72</v>
      </c>
      <c r="J6" s="2" t="n">
        <v>1</v>
      </c>
      <c r="K6" s="2" t="n">
        <v>11.32</v>
      </c>
      <c r="L6" s="2" t="n">
        <v>1.02</v>
      </c>
      <c r="M6" s="2" t="n">
        <v>0.61</v>
      </c>
      <c r="N6" s="2" t="n">
        <v>2.82</v>
      </c>
      <c r="O6" s="2" t="n">
        <v>4.41</v>
      </c>
      <c r="P6" s="2" t="n">
        <v>12.39</v>
      </c>
      <c r="Q6" s="2" t="n">
        <v>136.11</v>
      </c>
    </row>
    <row r="7" customFormat="false" ht="15" hidden="false" customHeight="false" outlineLevel="0" collapsed="false">
      <c r="A7" s="2" t="s">
        <v>66</v>
      </c>
      <c r="B7" s="2" t="n">
        <v>2009</v>
      </c>
      <c r="C7" s="2" t="s">
        <v>54</v>
      </c>
      <c r="D7" s="2" t="s">
        <v>55</v>
      </c>
      <c r="E7" s="2" t="s">
        <v>146</v>
      </c>
      <c r="F7" s="2" t="n">
        <v>22</v>
      </c>
      <c r="G7" s="2" t="n">
        <v>0.37</v>
      </c>
      <c r="H7" s="2" t="n">
        <v>1.37</v>
      </c>
      <c r="I7" s="2" t="n">
        <v>0.72</v>
      </c>
      <c r="J7" s="2" t="n">
        <v>1.01</v>
      </c>
      <c r="K7" s="2" t="n">
        <v>11.35</v>
      </c>
      <c r="L7" s="2" t="n">
        <v>1.01</v>
      </c>
      <c r="M7" s="2" t="n">
        <v>0.61</v>
      </c>
      <c r="N7" s="2" t="n">
        <v>2.93</v>
      </c>
      <c r="O7" s="2" t="n">
        <v>4.1</v>
      </c>
      <c r="P7" s="2" t="n">
        <v>13.6</v>
      </c>
      <c r="Q7" s="2" t="n">
        <v>292.86</v>
      </c>
    </row>
    <row r="8" customFormat="false" ht="15" hidden="false" customHeight="false" outlineLevel="0" collapsed="false">
      <c r="A8" s="2" t="s">
        <v>68</v>
      </c>
      <c r="B8" s="2" t="n">
        <v>2009</v>
      </c>
      <c r="C8" s="2" t="s">
        <v>54</v>
      </c>
      <c r="D8" s="2" t="s">
        <v>55</v>
      </c>
      <c r="E8" s="2" t="s">
        <v>148</v>
      </c>
      <c r="F8" s="2" t="n">
        <v>23</v>
      </c>
      <c r="G8" s="2" t="n">
        <v>0.37</v>
      </c>
      <c r="H8" s="2" t="n">
        <v>1.37</v>
      </c>
      <c r="I8" s="2" t="n">
        <v>0.72</v>
      </c>
      <c r="J8" s="2" t="n">
        <v>1.02</v>
      </c>
      <c r="K8" s="2" t="n">
        <v>12.28</v>
      </c>
      <c r="L8" s="2" t="n">
        <v>1.01</v>
      </c>
      <c r="M8" s="2" t="n">
        <v>0.61</v>
      </c>
      <c r="N8" s="2" t="n">
        <v>2.85</v>
      </c>
      <c r="O8" s="2" t="n">
        <v>4.28</v>
      </c>
      <c r="P8" s="2" t="n">
        <v>10.51</v>
      </c>
      <c r="Q8" s="2" t="n">
        <v>43.17</v>
      </c>
    </row>
    <row r="9" customFormat="false" ht="15" hidden="false" customHeight="false" outlineLevel="0" collapsed="false">
      <c r="A9" s="2" t="s">
        <v>70</v>
      </c>
      <c r="B9" s="2" t="n">
        <v>2009</v>
      </c>
      <c r="C9" s="2" t="s">
        <v>54</v>
      </c>
      <c r="D9" s="2" t="s">
        <v>55</v>
      </c>
      <c r="E9" s="2" t="s">
        <v>150</v>
      </c>
      <c r="F9" s="2" t="n">
        <v>24</v>
      </c>
      <c r="G9" s="2" t="n">
        <v>0.37</v>
      </c>
      <c r="H9" s="2" t="n">
        <v>1.36</v>
      </c>
      <c r="I9" s="2" t="n">
        <v>0.71</v>
      </c>
      <c r="J9" s="2" t="n">
        <v>1.01</v>
      </c>
      <c r="K9" s="2" t="n">
        <v>10.31</v>
      </c>
      <c r="L9" s="2" t="n">
        <v>1</v>
      </c>
      <c r="M9" s="2" t="n">
        <v>0.6</v>
      </c>
      <c r="N9" s="2" t="n">
        <v>2.94</v>
      </c>
      <c r="O9" s="2" t="n">
        <v>4.05</v>
      </c>
      <c r="P9" s="2" t="n">
        <v>10.43</v>
      </c>
      <c r="Q9" s="2" t="n">
        <v>23.28</v>
      </c>
    </row>
    <row r="10" customFormat="false" ht="15" hidden="false" customHeight="false" outlineLevel="0" collapsed="false">
      <c r="A10" s="2" t="s">
        <v>72</v>
      </c>
      <c r="B10" s="2" t="n">
        <v>2009</v>
      </c>
      <c r="C10" s="2" t="s">
        <v>54</v>
      </c>
      <c r="D10" s="2" t="s">
        <v>55</v>
      </c>
      <c r="E10" s="2" t="s">
        <v>152</v>
      </c>
      <c r="F10" s="2" t="n">
        <v>25</v>
      </c>
      <c r="G10" s="2" t="n">
        <v>0.37</v>
      </c>
      <c r="H10" s="2" t="n">
        <v>1.42</v>
      </c>
      <c r="I10" s="2" t="n">
        <v>0.71</v>
      </c>
      <c r="J10" s="2" t="n">
        <v>1.03</v>
      </c>
      <c r="K10" s="2" t="n">
        <v>13.47</v>
      </c>
      <c r="L10" s="2" t="n">
        <v>0.99</v>
      </c>
      <c r="M10" s="2" t="n">
        <v>0.6</v>
      </c>
      <c r="N10" s="2" t="n">
        <v>2.92</v>
      </c>
      <c r="O10" s="2" t="n">
        <v>4.82</v>
      </c>
      <c r="P10" s="2" t="n">
        <v>10.29</v>
      </c>
      <c r="Q10" s="2" t="n">
        <v>37.8</v>
      </c>
    </row>
    <row r="11" customFormat="false" ht="15" hidden="false" customHeight="false" outlineLevel="0" collapsed="false">
      <c r="A11" s="2" t="s">
        <v>74</v>
      </c>
      <c r="B11" s="2" t="n">
        <v>2009</v>
      </c>
      <c r="C11" s="2" t="s">
        <v>54</v>
      </c>
      <c r="D11" s="2" t="s">
        <v>55</v>
      </c>
      <c r="E11" s="2" t="s">
        <v>154</v>
      </c>
      <c r="F11" s="2" t="n">
        <v>26</v>
      </c>
      <c r="G11" s="2" t="n">
        <v>0.37</v>
      </c>
      <c r="H11" s="2" t="n">
        <v>1.41</v>
      </c>
      <c r="I11" s="2" t="n">
        <v>0.71</v>
      </c>
      <c r="J11" s="2" t="n">
        <v>1.02</v>
      </c>
      <c r="K11" s="2" t="n">
        <v>14.2</v>
      </c>
      <c r="L11" s="2" t="n">
        <v>0.99</v>
      </c>
      <c r="M11" s="2" t="n">
        <v>0.6</v>
      </c>
      <c r="N11" s="2" t="n">
        <v>3</v>
      </c>
      <c r="O11" s="2" t="n">
        <v>4.22</v>
      </c>
      <c r="P11" s="2" t="n">
        <v>13.54</v>
      </c>
      <c r="Q11" s="2" t="n">
        <v>73.07</v>
      </c>
    </row>
    <row r="12" customFormat="false" ht="15" hidden="false" customHeight="false" outlineLevel="0" collapsed="false">
      <c r="A12" s="2" t="s">
        <v>76</v>
      </c>
      <c r="B12" s="2" t="n">
        <v>2009</v>
      </c>
      <c r="C12" s="2" t="s">
        <v>54</v>
      </c>
      <c r="D12" s="2" t="s">
        <v>55</v>
      </c>
      <c r="E12" s="2" t="s">
        <v>156</v>
      </c>
      <c r="F12" s="2" t="n">
        <v>27</v>
      </c>
      <c r="G12" s="2" t="n">
        <v>0.37</v>
      </c>
      <c r="H12" s="2" t="n">
        <v>1.4</v>
      </c>
      <c r="I12" s="2" t="n">
        <v>0.71</v>
      </c>
      <c r="J12" s="2" t="n">
        <v>1.02</v>
      </c>
      <c r="K12" s="2" t="n">
        <v>10.08</v>
      </c>
      <c r="L12" s="2" t="n">
        <v>0.99</v>
      </c>
      <c r="M12" s="2" t="n">
        <v>0.6</v>
      </c>
      <c r="N12" s="2" t="n">
        <v>2.91</v>
      </c>
      <c r="O12" s="2" t="n">
        <v>4.44</v>
      </c>
      <c r="P12" s="2" t="n">
        <v>13.14</v>
      </c>
      <c r="Q12" s="2" t="n">
        <v>69.99</v>
      </c>
    </row>
    <row r="13" customFormat="false" ht="15" hidden="false" customHeight="false" outlineLevel="0" collapsed="false">
      <c r="A13" s="2" t="s">
        <v>78</v>
      </c>
      <c r="B13" s="2" t="n">
        <v>2009</v>
      </c>
      <c r="C13" s="2" t="s">
        <v>54</v>
      </c>
      <c r="D13" s="2" t="s">
        <v>55</v>
      </c>
      <c r="E13" s="2" t="s">
        <v>158</v>
      </c>
      <c r="F13" s="2" t="n">
        <v>28</v>
      </c>
      <c r="G13" s="2" t="n">
        <v>0.37</v>
      </c>
      <c r="H13" s="2" t="n">
        <v>1.37</v>
      </c>
      <c r="I13" s="2" t="n">
        <v>0.71</v>
      </c>
      <c r="J13" s="2" t="n">
        <v>1.01</v>
      </c>
      <c r="K13" s="2" t="n">
        <v>11.41</v>
      </c>
      <c r="L13" s="2" t="n">
        <v>1.01</v>
      </c>
      <c r="M13" s="2" t="n">
        <v>0.6</v>
      </c>
      <c r="N13" s="2" t="n">
        <v>2.81</v>
      </c>
      <c r="O13" s="2" t="n">
        <v>4.66</v>
      </c>
      <c r="P13" s="2" t="n">
        <v>13.51</v>
      </c>
      <c r="Q13" s="2" t="n">
        <v>41.38</v>
      </c>
    </row>
    <row r="14" customFormat="false" ht="15" hidden="false" customHeight="false" outlineLevel="0" collapsed="false">
      <c r="A14" s="2" t="s">
        <v>80</v>
      </c>
      <c r="B14" s="2" t="n">
        <v>2009</v>
      </c>
      <c r="C14" s="2" t="s">
        <v>54</v>
      </c>
      <c r="D14" s="2" t="s">
        <v>55</v>
      </c>
      <c r="E14" s="2" t="s">
        <v>162</v>
      </c>
      <c r="F14" s="2" t="n">
        <v>30</v>
      </c>
      <c r="G14" s="2" t="n">
        <v>0.37</v>
      </c>
      <c r="H14" s="2" t="n">
        <v>1.35</v>
      </c>
      <c r="I14" s="2" t="n">
        <v>0.72</v>
      </c>
      <c r="J14" s="2" t="n">
        <v>1.01</v>
      </c>
      <c r="K14" s="2" t="n">
        <v>11.75</v>
      </c>
      <c r="L14" s="2" t="n">
        <v>1.03</v>
      </c>
      <c r="M14" s="2" t="n">
        <v>0.61</v>
      </c>
      <c r="N14" s="2" t="n">
        <v>2.93</v>
      </c>
      <c r="O14" s="2" t="n">
        <v>4.1</v>
      </c>
      <c r="P14" s="2" t="n">
        <v>12.22</v>
      </c>
      <c r="Q14" s="2" t="n">
        <v>46.66</v>
      </c>
    </row>
    <row r="15" customFormat="false" ht="15" hidden="false" customHeight="false" outlineLevel="0" collapsed="false">
      <c r="A15" s="2" t="s">
        <v>82</v>
      </c>
      <c r="B15" s="2" t="n">
        <v>2009</v>
      </c>
      <c r="C15" s="2" t="s">
        <v>54</v>
      </c>
      <c r="D15" s="2" t="s">
        <v>55</v>
      </c>
      <c r="E15" s="2" t="s">
        <v>164</v>
      </c>
      <c r="F15" s="2" t="n">
        <v>31</v>
      </c>
      <c r="G15" s="2" t="n">
        <v>0.36</v>
      </c>
      <c r="H15" s="2" t="n">
        <v>1.36</v>
      </c>
      <c r="I15" s="2" t="n">
        <v>0.71</v>
      </c>
      <c r="J15" s="2" t="n">
        <v>1.02</v>
      </c>
      <c r="K15" s="2" t="n">
        <v>11.78</v>
      </c>
      <c r="L15" s="2" t="n">
        <v>0.98</v>
      </c>
      <c r="M15" s="2" t="n">
        <v>0.61</v>
      </c>
      <c r="N15" s="2" t="n">
        <v>2.91</v>
      </c>
      <c r="O15" s="2" t="n">
        <v>4.52</v>
      </c>
      <c r="P15" s="2" t="n">
        <v>12.34</v>
      </c>
      <c r="Q15" s="2" t="n">
        <v>40.06</v>
      </c>
    </row>
    <row r="16" customFormat="false" ht="15" hidden="false" customHeight="false" outlineLevel="0" collapsed="false">
      <c r="A16" s="2" t="s">
        <v>84</v>
      </c>
      <c r="B16" s="2" t="n">
        <v>2009</v>
      </c>
      <c r="C16" s="2" t="s">
        <v>54</v>
      </c>
      <c r="D16" s="2" t="s">
        <v>55</v>
      </c>
      <c r="E16" s="2" t="s">
        <v>166</v>
      </c>
      <c r="F16" s="2" t="n">
        <v>32</v>
      </c>
      <c r="G16" s="2" t="n">
        <v>0.37</v>
      </c>
      <c r="H16" s="2" t="n">
        <v>1.34</v>
      </c>
      <c r="I16" s="2" t="n">
        <v>0.72</v>
      </c>
      <c r="J16" s="2" t="n">
        <v>0.99</v>
      </c>
      <c r="K16" s="2" t="n">
        <v>12.66</v>
      </c>
      <c r="L16" s="2" t="n">
        <v>1.04</v>
      </c>
      <c r="M16" s="2" t="n">
        <v>0.61</v>
      </c>
      <c r="N16" s="2" t="n">
        <v>2.88</v>
      </c>
      <c r="O16" s="2" t="n">
        <v>4.05</v>
      </c>
      <c r="P16" s="2" t="n">
        <v>11.15</v>
      </c>
      <c r="Q16" s="2" t="n">
        <v>77.28</v>
      </c>
    </row>
    <row r="17" customFormat="false" ht="15" hidden="false" customHeight="false" outlineLevel="0" collapsed="false">
      <c r="A17" s="2" t="s">
        <v>86</v>
      </c>
      <c r="B17" s="2" t="n">
        <v>2009</v>
      </c>
      <c r="C17" s="2" t="s">
        <v>54</v>
      </c>
      <c r="D17" s="2" t="s">
        <v>55</v>
      </c>
      <c r="E17" s="2" t="s">
        <v>168</v>
      </c>
      <c r="F17" s="2" t="n">
        <v>33</v>
      </c>
      <c r="G17" s="2" t="n">
        <v>0.37</v>
      </c>
      <c r="H17" s="2" t="n">
        <v>1.36</v>
      </c>
      <c r="I17" s="2" t="n">
        <v>0.71</v>
      </c>
      <c r="J17" s="2" t="n">
        <v>1.02</v>
      </c>
      <c r="K17" s="2" t="n">
        <v>11.53</v>
      </c>
      <c r="L17" s="2" t="n">
        <v>0.99</v>
      </c>
      <c r="M17" s="2" t="n">
        <v>0.6</v>
      </c>
      <c r="N17" s="2" t="n">
        <v>2.91</v>
      </c>
      <c r="O17" s="2" t="n">
        <v>4.21</v>
      </c>
      <c r="P17" s="2" t="n">
        <v>13.32</v>
      </c>
      <c r="Q17" s="2" t="n">
        <v>32.81</v>
      </c>
    </row>
    <row r="18" customFormat="false" ht="15" hidden="false" customHeight="false" outlineLevel="0" collapsed="false">
      <c r="A18" s="2" t="s">
        <v>88</v>
      </c>
      <c r="B18" s="2" t="n">
        <v>2009</v>
      </c>
      <c r="C18" s="2" t="s">
        <v>54</v>
      </c>
      <c r="D18" s="2" t="s">
        <v>55</v>
      </c>
      <c r="E18" s="2" t="s">
        <v>170</v>
      </c>
      <c r="F18" s="2" t="n">
        <v>34</v>
      </c>
      <c r="G18" s="2" t="n">
        <v>0.37</v>
      </c>
      <c r="H18" s="2" t="n">
        <v>1.4</v>
      </c>
      <c r="I18" s="2" t="n">
        <v>0.72</v>
      </c>
      <c r="J18" s="2" t="n">
        <v>1.02</v>
      </c>
      <c r="K18" s="2" t="n">
        <v>12.49</v>
      </c>
      <c r="L18" s="2" t="n">
        <v>0.98</v>
      </c>
      <c r="M18" s="2" t="n">
        <v>0.6</v>
      </c>
      <c r="N18" s="2" t="n">
        <v>2.88</v>
      </c>
      <c r="O18" s="2" t="n">
        <v>4.3</v>
      </c>
      <c r="P18" s="2" t="n">
        <v>11.92</v>
      </c>
      <c r="Q18" s="2" t="n">
        <v>123.9</v>
      </c>
    </row>
    <row r="19" customFormat="false" ht="15" hidden="false" customHeight="false" outlineLevel="0" collapsed="false">
      <c r="A19" s="2" t="s">
        <v>90</v>
      </c>
      <c r="B19" s="2" t="n">
        <v>2009</v>
      </c>
      <c r="C19" s="2" t="s">
        <v>54</v>
      </c>
      <c r="D19" s="2" t="s">
        <v>55</v>
      </c>
      <c r="E19" s="2" t="s">
        <v>172</v>
      </c>
      <c r="F19" s="2" t="n">
        <v>35</v>
      </c>
      <c r="G19" s="2" t="n">
        <v>0.37</v>
      </c>
      <c r="H19" s="2" t="n">
        <v>1.39</v>
      </c>
      <c r="I19" s="2" t="n">
        <v>0.71</v>
      </c>
      <c r="J19" s="2" t="n">
        <v>1.03</v>
      </c>
      <c r="K19" s="2" t="n">
        <v>11.73</v>
      </c>
      <c r="L19" s="2" t="n">
        <v>0.99</v>
      </c>
      <c r="M19" s="2" t="n">
        <v>0.6</v>
      </c>
      <c r="N19" s="2" t="n">
        <v>2.83</v>
      </c>
      <c r="O19" s="2" t="n">
        <v>4.44</v>
      </c>
      <c r="P19" s="2" t="n">
        <v>11.61</v>
      </c>
      <c r="Q19" s="2" t="n">
        <v>29.68</v>
      </c>
    </row>
    <row r="20" customFormat="false" ht="15" hidden="false" customHeight="false" outlineLevel="0" collapsed="false">
      <c r="A20" s="2" t="s">
        <v>92</v>
      </c>
      <c r="B20" s="2" t="n">
        <v>2009</v>
      </c>
      <c r="C20" s="2" t="s">
        <v>54</v>
      </c>
      <c r="D20" s="2" t="s">
        <v>55</v>
      </c>
      <c r="E20" s="2" t="s">
        <v>174</v>
      </c>
      <c r="F20" s="2" t="n">
        <v>36</v>
      </c>
      <c r="G20" s="2" t="n">
        <v>0.37</v>
      </c>
      <c r="H20" s="2" t="n">
        <v>1.37</v>
      </c>
      <c r="I20" s="2" t="n">
        <v>0.71</v>
      </c>
      <c r="J20" s="2" t="n">
        <v>1.02</v>
      </c>
      <c r="K20" s="2" t="n">
        <v>11.32</v>
      </c>
      <c r="L20" s="2" t="n">
        <v>0.98</v>
      </c>
      <c r="M20" s="2" t="n">
        <v>0.6</v>
      </c>
      <c r="N20" s="2" t="n">
        <v>2.9</v>
      </c>
      <c r="O20" s="2" t="n">
        <v>4.26</v>
      </c>
      <c r="P20" s="2" t="n">
        <v>10.87</v>
      </c>
      <c r="Q20" s="2" t="n">
        <v>67.76</v>
      </c>
    </row>
    <row r="21" customFormat="false" ht="15" hidden="false" customHeight="false" outlineLevel="0" collapsed="false">
      <c r="A21" s="2" t="s">
        <v>94</v>
      </c>
      <c r="B21" s="2" t="n">
        <v>2009</v>
      </c>
      <c r="C21" s="2" t="s">
        <v>54</v>
      </c>
      <c r="D21" s="2" t="s">
        <v>55</v>
      </c>
      <c r="E21" s="2" t="s">
        <v>176</v>
      </c>
      <c r="F21" s="2" t="n">
        <v>37</v>
      </c>
      <c r="G21" s="2" t="n">
        <v>0.37</v>
      </c>
      <c r="H21" s="2" t="n">
        <v>1.38</v>
      </c>
      <c r="I21" s="2" t="n">
        <v>0.7</v>
      </c>
      <c r="J21" s="2" t="n">
        <v>1.02</v>
      </c>
      <c r="K21" s="2" t="n">
        <v>11.73</v>
      </c>
      <c r="L21" s="2" t="n">
        <v>0.99</v>
      </c>
      <c r="M21" s="2" t="n">
        <v>0.6</v>
      </c>
      <c r="N21" s="2" t="n">
        <v>2.76</v>
      </c>
      <c r="O21" s="2" t="n">
        <v>4.43</v>
      </c>
      <c r="P21" s="2" t="n">
        <v>12.32</v>
      </c>
      <c r="Q21" s="2" t="n">
        <v>52.53</v>
      </c>
    </row>
    <row r="22" customFormat="false" ht="15" hidden="false" customHeight="false" outlineLevel="0" collapsed="false">
      <c r="A22" s="2" t="s">
        <v>96</v>
      </c>
      <c r="B22" s="2" t="n">
        <v>2009</v>
      </c>
      <c r="C22" s="2" t="s">
        <v>54</v>
      </c>
      <c r="D22" s="2" t="s">
        <v>55</v>
      </c>
      <c r="E22" s="2" t="s">
        <v>178</v>
      </c>
      <c r="F22" s="2" t="n">
        <v>38</v>
      </c>
      <c r="G22" s="2" t="n">
        <v>0.37</v>
      </c>
      <c r="H22" s="2" t="n">
        <v>1.37</v>
      </c>
      <c r="I22" s="2" t="n">
        <v>0.71</v>
      </c>
      <c r="J22" s="2" t="n">
        <v>1.01</v>
      </c>
      <c r="K22" s="2" t="n">
        <v>11.93</v>
      </c>
      <c r="L22" s="2" t="n">
        <v>1.01</v>
      </c>
      <c r="M22" s="2" t="n">
        <v>0.61</v>
      </c>
      <c r="N22" s="2" t="n">
        <v>2.9</v>
      </c>
      <c r="O22" s="2" t="n">
        <v>4.33</v>
      </c>
      <c r="P22" s="2" t="n">
        <v>14.44</v>
      </c>
      <c r="Q22" s="2" t="n">
        <v>167.35</v>
      </c>
    </row>
    <row r="23" customFormat="false" ht="15" hidden="false" customHeight="false" outlineLevel="0" collapsed="false">
      <c r="A23" s="2" t="s">
        <v>98</v>
      </c>
      <c r="B23" s="2" t="n">
        <v>2009</v>
      </c>
      <c r="C23" s="2" t="s">
        <v>54</v>
      </c>
      <c r="D23" s="2" t="s">
        <v>55</v>
      </c>
      <c r="E23" s="2" t="s">
        <v>180</v>
      </c>
      <c r="F23" s="2" t="n">
        <v>39</v>
      </c>
      <c r="G23" s="2" t="n">
        <v>0.37</v>
      </c>
      <c r="H23" s="2" t="n">
        <v>1.37</v>
      </c>
      <c r="I23" s="2" t="n">
        <v>0.71</v>
      </c>
      <c r="J23" s="2" t="n">
        <v>1.01</v>
      </c>
      <c r="K23" s="2" t="n">
        <v>9.49</v>
      </c>
      <c r="L23" s="2" t="n">
        <v>1.01</v>
      </c>
      <c r="M23" s="2" t="n">
        <v>0.61</v>
      </c>
      <c r="N23" s="2" t="n">
        <v>2.92</v>
      </c>
      <c r="O23" s="2" t="n">
        <v>4.35</v>
      </c>
      <c r="P23" s="2" t="n">
        <v>11.96</v>
      </c>
      <c r="Q23" s="2" t="n">
        <v>39.74</v>
      </c>
    </row>
    <row r="24" customFormat="false" ht="15" hidden="false" customHeight="false" outlineLevel="0" collapsed="false">
      <c r="A24" s="2" t="s">
        <v>100</v>
      </c>
      <c r="B24" s="2" t="n">
        <v>2009</v>
      </c>
      <c r="C24" s="2" t="s">
        <v>54</v>
      </c>
      <c r="D24" s="2" t="s">
        <v>55</v>
      </c>
      <c r="E24" s="2" t="s">
        <v>182</v>
      </c>
      <c r="F24" s="2" t="n">
        <v>40</v>
      </c>
      <c r="G24" s="2" t="n">
        <v>0.37</v>
      </c>
      <c r="H24" s="2" t="n">
        <v>1.39</v>
      </c>
      <c r="I24" s="2" t="n">
        <v>0.72</v>
      </c>
      <c r="J24" s="2" t="n">
        <v>1.02</v>
      </c>
      <c r="K24" s="2" t="n">
        <v>11.11</v>
      </c>
      <c r="L24" s="2" t="n">
        <v>0.99</v>
      </c>
      <c r="M24" s="2" t="n">
        <v>0.6</v>
      </c>
      <c r="N24" s="2" t="n">
        <v>2.94</v>
      </c>
      <c r="O24" s="2" t="n">
        <v>4.76</v>
      </c>
      <c r="P24" s="2" t="n">
        <v>9.77</v>
      </c>
      <c r="Q24" s="2" t="n">
        <v>63.85</v>
      </c>
    </row>
    <row r="25" customFormat="false" ht="15" hidden="false" customHeight="false" outlineLevel="0" collapsed="false">
      <c r="A25" s="2" t="s">
        <v>102</v>
      </c>
      <c r="B25" s="2" t="n">
        <v>2009</v>
      </c>
      <c r="C25" s="2" t="s">
        <v>54</v>
      </c>
      <c r="D25" s="2" t="s">
        <v>55</v>
      </c>
      <c r="E25" s="2" t="s">
        <v>184</v>
      </c>
      <c r="F25" s="2" t="n">
        <v>41</v>
      </c>
      <c r="G25" s="2" t="n">
        <v>0.37</v>
      </c>
      <c r="H25" s="2" t="n">
        <v>1.4</v>
      </c>
      <c r="I25" s="2" t="n">
        <v>0.71</v>
      </c>
      <c r="J25" s="2" t="n">
        <v>1.03</v>
      </c>
      <c r="K25" s="2" t="n">
        <v>13.08</v>
      </c>
      <c r="L25" s="2" t="n">
        <v>0.98</v>
      </c>
      <c r="M25" s="2" t="n">
        <v>0.6</v>
      </c>
      <c r="N25" s="2" t="n">
        <v>2.89</v>
      </c>
      <c r="O25" s="2" t="n">
        <v>4.5</v>
      </c>
      <c r="P25" s="2" t="n">
        <v>10.68</v>
      </c>
      <c r="Q25" s="2" t="n">
        <v>49.37</v>
      </c>
    </row>
    <row r="26" customFormat="false" ht="15" hidden="false" customHeight="false" outlineLevel="0" collapsed="false">
      <c r="A26" s="2" t="s">
        <v>104</v>
      </c>
      <c r="B26" s="2" t="n">
        <v>2009</v>
      </c>
      <c r="C26" s="2" t="s">
        <v>54</v>
      </c>
      <c r="D26" s="2" t="s">
        <v>55</v>
      </c>
      <c r="E26" s="2" t="s">
        <v>186</v>
      </c>
      <c r="F26" s="2" t="n">
        <v>42</v>
      </c>
      <c r="G26" s="2" t="n">
        <v>0.36</v>
      </c>
      <c r="H26" s="2" t="n">
        <v>1.37</v>
      </c>
      <c r="I26" s="2" t="n">
        <v>0.71</v>
      </c>
      <c r="J26" s="2" t="n">
        <v>1.03</v>
      </c>
      <c r="K26" s="2" t="n">
        <v>12.74</v>
      </c>
      <c r="L26" s="2" t="n">
        <v>1.01</v>
      </c>
      <c r="M26" s="2" t="n">
        <v>0.6</v>
      </c>
      <c r="N26" s="2" t="n">
        <v>3.08</v>
      </c>
      <c r="O26" s="2" t="n">
        <v>4.47</v>
      </c>
      <c r="P26" s="2" t="n">
        <v>11.97</v>
      </c>
      <c r="Q26" s="2" t="n">
        <v>44.85</v>
      </c>
    </row>
    <row r="27" customFormat="false" ht="15" hidden="false" customHeight="false" outlineLevel="0" collapsed="false">
      <c r="A27" s="2" t="s">
        <v>107</v>
      </c>
      <c r="B27" s="2" t="n">
        <v>2009</v>
      </c>
      <c r="C27" s="2" t="s">
        <v>54</v>
      </c>
      <c r="D27" s="2" t="s">
        <v>55</v>
      </c>
      <c r="E27" s="2" t="s">
        <v>188</v>
      </c>
      <c r="F27" s="2" t="n">
        <v>43</v>
      </c>
      <c r="G27" s="2" t="n">
        <v>0.36</v>
      </c>
      <c r="H27" s="2" t="n">
        <v>1.38</v>
      </c>
      <c r="I27" s="2" t="n">
        <v>0.71</v>
      </c>
      <c r="J27" s="2" t="n">
        <v>1.01</v>
      </c>
      <c r="K27" s="2" t="n">
        <v>11.95</v>
      </c>
      <c r="L27" s="2" t="n">
        <v>0.99</v>
      </c>
      <c r="M27" s="2" t="n">
        <v>0.6</v>
      </c>
      <c r="N27" s="2" t="n">
        <v>2.84</v>
      </c>
      <c r="O27" s="2" t="n">
        <v>4.29</v>
      </c>
      <c r="P27" s="2" t="n">
        <v>10.4</v>
      </c>
      <c r="Q27" s="2" t="n">
        <v>65.92</v>
      </c>
    </row>
    <row r="28" customFormat="false" ht="15" hidden="false" customHeight="false" outlineLevel="0" collapsed="false">
      <c r="A28" s="2" t="s">
        <v>109</v>
      </c>
      <c r="B28" s="2" t="n">
        <v>2009</v>
      </c>
      <c r="C28" s="2" t="s">
        <v>54</v>
      </c>
      <c r="D28" s="2" t="s">
        <v>55</v>
      </c>
      <c r="E28" s="2" t="s">
        <v>190</v>
      </c>
      <c r="F28" s="2" t="n">
        <v>44</v>
      </c>
      <c r="G28" s="2" t="n">
        <v>0.36</v>
      </c>
      <c r="H28" s="2" t="n">
        <v>1.4</v>
      </c>
      <c r="I28" s="2" t="n">
        <v>0.7</v>
      </c>
      <c r="J28" s="2" t="n">
        <v>1.02</v>
      </c>
      <c r="K28" s="2" t="n">
        <v>13.32</v>
      </c>
      <c r="L28" s="2" t="n">
        <v>0.97</v>
      </c>
      <c r="M28" s="2" t="n">
        <v>0.6</v>
      </c>
      <c r="N28" s="2" t="n">
        <v>2.9</v>
      </c>
      <c r="O28" s="2" t="n">
        <v>4.25</v>
      </c>
      <c r="P28" s="2" t="n">
        <v>11.96</v>
      </c>
      <c r="Q28" s="2" t="n">
        <v>62.01</v>
      </c>
    </row>
    <row r="29" customFormat="false" ht="15" hidden="false" customHeight="false" outlineLevel="0" collapsed="false">
      <c r="A29" s="2" t="s">
        <v>111</v>
      </c>
      <c r="B29" s="2" t="n">
        <v>2009</v>
      </c>
      <c r="C29" s="2" t="s">
        <v>54</v>
      </c>
      <c r="D29" s="2" t="s">
        <v>55</v>
      </c>
      <c r="E29" s="2" t="s">
        <v>192</v>
      </c>
      <c r="F29" s="2" t="n">
        <v>45</v>
      </c>
      <c r="G29" s="2" t="n">
        <v>0.37</v>
      </c>
      <c r="H29" s="2" t="n">
        <v>1.41</v>
      </c>
      <c r="I29" s="2" t="n">
        <v>0.72</v>
      </c>
      <c r="J29" s="2" t="n">
        <v>1.02</v>
      </c>
      <c r="K29" s="2" t="n">
        <v>14.14</v>
      </c>
      <c r="L29" s="2" t="n">
        <v>1.01</v>
      </c>
      <c r="M29" s="2" t="n">
        <v>0.61</v>
      </c>
      <c r="N29" s="2" t="n">
        <v>3.03</v>
      </c>
      <c r="O29" s="2" t="n">
        <v>4.64</v>
      </c>
      <c r="P29" s="2" t="n">
        <v>12.74</v>
      </c>
      <c r="Q29" s="2" t="n">
        <v>80.9</v>
      </c>
    </row>
    <row r="30" customFormat="false" ht="15" hidden="false" customHeight="false" outlineLevel="0" collapsed="false">
      <c r="A30" s="2" t="s">
        <v>113</v>
      </c>
      <c r="B30" s="2" t="n">
        <v>2009</v>
      </c>
      <c r="C30" s="2" t="s">
        <v>54</v>
      </c>
      <c r="D30" s="2" t="s">
        <v>55</v>
      </c>
      <c r="E30" s="2" t="s">
        <v>222</v>
      </c>
      <c r="F30" s="2" t="n">
        <v>46</v>
      </c>
      <c r="G30" s="2" t="n">
        <v>0.37</v>
      </c>
      <c r="H30" s="2" t="n">
        <v>1.36</v>
      </c>
      <c r="I30" s="2" t="n">
        <v>0.72</v>
      </c>
      <c r="J30" s="2" t="n">
        <v>1.02</v>
      </c>
      <c r="K30" s="2" t="n">
        <v>12.32</v>
      </c>
      <c r="L30" s="2" t="n">
        <v>1.02</v>
      </c>
      <c r="M30" s="2" t="n">
        <v>0.61</v>
      </c>
      <c r="N30" s="2" t="n">
        <v>2.95</v>
      </c>
      <c r="O30" s="2" t="n">
        <v>4.03</v>
      </c>
      <c r="P30" s="2" t="n">
        <v>10.79</v>
      </c>
      <c r="Q30" s="2" t="n">
        <v>52.78</v>
      </c>
    </row>
    <row r="31" customFormat="false" ht="15" hidden="false" customHeight="false" outlineLevel="0" collapsed="false">
      <c r="A31" s="2" t="s">
        <v>115</v>
      </c>
      <c r="B31" s="2" t="n">
        <v>2009</v>
      </c>
      <c r="C31" s="2" t="s">
        <v>54</v>
      </c>
      <c r="D31" s="2" t="s">
        <v>55</v>
      </c>
      <c r="E31" s="2" t="s">
        <v>194</v>
      </c>
      <c r="F31" s="2" t="n">
        <v>47</v>
      </c>
      <c r="G31" s="2" t="n">
        <v>0.37</v>
      </c>
      <c r="H31" s="2" t="n">
        <v>1.31</v>
      </c>
      <c r="I31" s="2" t="n">
        <v>0.73</v>
      </c>
      <c r="J31" s="2" t="n">
        <v>0.99</v>
      </c>
      <c r="K31" s="2" t="n">
        <v>9.61</v>
      </c>
      <c r="L31" s="2" t="n">
        <v>1.04</v>
      </c>
      <c r="M31" s="2" t="n">
        <v>0.61</v>
      </c>
      <c r="N31" s="2" t="n">
        <v>2.75</v>
      </c>
      <c r="O31" s="2" t="n">
        <v>4.32</v>
      </c>
      <c r="P31" s="2" t="n">
        <v>10.27</v>
      </c>
      <c r="Q31" s="2" t="n">
        <v>33.01</v>
      </c>
    </row>
    <row r="32" customFormat="false" ht="15" hidden="false" customHeight="false" outlineLevel="0" collapsed="false">
      <c r="A32" s="2" t="s">
        <v>117</v>
      </c>
      <c r="B32" s="2" t="n">
        <v>2009</v>
      </c>
      <c r="C32" s="2" t="s">
        <v>54</v>
      </c>
      <c r="D32" s="2" t="s">
        <v>55</v>
      </c>
      <c r="E32" s="2" t="s">
        <v>196</v>
      </c>
      <c r="F32" s="2" t="n">
        <v>48</v>
      </c>
      <c r="G32" s="2" t="n">
        <v>0.37</v>
      </c>
      <c r="H32" s="2" t="n">
        <v>1.37</v>
      </c>
      <c r="I32" s="2" t="n">
        <v>0.72</v>
      </c>
      <c r="J32" s="2" t="n">
        <v>1.01</v>
      </c>
      <c r="K32" s="2" t="n">
        <v>10.04</v>
      </c>
      <c r="L32" s="2" t="n">
        <v>1</v>
      </c>
      <c r="M32" s="2" t="n">
        <v>0.6</v>
      </c>
      <c r="N32" s="2" t="n">
        <v>2.92</v>
      </c>
      <c r="O32" s="2" t="n">
        <v>4.37</v>
      </c>
      <c r="P32" s="2" t="n">
        <v>9.37</v>
      </c>
      <c r="Q32" s="2" t="n">
        <v>39.31</v>
      </c>
    </row>
    <row r="33" customFormat="false" ht="15" hidden="false" customHeight="false" outlineLevel="0" collapsed="false">
      <c r="A33" s="2" t="s">
        <v>119</v>
      </c>
      <c r="B33" s="2" t="n">
        <v>2009</v>
      </c>
      <c r="C33" s="2" t="s">
        <v>54</v>
      </c>
      <c r="D33" s="2" t="s">
        <v>55</v>
      </c>
      <c r="E33" s="2" t="s">
        <v>198</v>
      </c>
      <c r="F33" s="2" t="n">
        <v>49</v>
      </c>
      <c r="G33" s="2" t="n">
        <v>0.37</v>
      </c>
      <c r="H33" s="2" t="n">
        <v>1.41</v>
      </c>
      <c r="I33" s="2" t="n">
        <v>0.71</v>
      </c>
      <c r="J33" s="2" t="n">
        <v>1.04</v>
      </c>
      <c r="K33" s="2" t="n">
        <v>10.49</v>
      </c>
      <c r="L33" s="2" t="n">
        <v>1</v>
      </c>
      <c r="M33" s="2" t="n">
        <v>0.61</v>
      </c>
      <c r="N33" s="2" t="n">
        <v>3.03</v>
      </c>
      <c r="O33" s="2" t="n">
        <v>4.14</v>
      </c>
      <c r="P33" s="2" t="n">
        <v>12.38</v>
      </c>
      <c r="Q33" s="2" t="n">
        <v>29.28</v>
      </c>
    </row>
    <row r="34" customFormat="false" ht="15" hidden="false" customHeight="false" outlineLevel="0" collapsed="false">
      <c r="A34" s="2" t="s">
        <v>121</v>
      </c>
      <c r="B34" s="2" t="n">
        <v>2009</v>
      </c>
      <c r="C34" s="2" t="s">
        <v>54</v>
      </c>
      <c r="D34" s="2" t="s">
        <v>55</v>
      </c>
      <c r="E34" s="2" t="s">
        <v>223</v>
      </c>
      <c r="F34" s="2" t="n">
        <v>50</v>
      </c>
      <c r="G34" s="2" t="n">
        <v>0.37</v>
      </c>
      <c r="H34" s="2" t="n">
        <v>1.38</v>
      </c>
      <c r="I34" s="2" t="n">
        <v>0.71</v>
      </c>
      <c r="J34" s="2" t="n">
        <v>1.03</v>
      </c>
      <c r="K34" s="2" t="n">
        <v>9.21</v>
      </c>
      <c r="L34" s="2" t="n">
        <v>1.01</v>
      </c>
      <c r="M34" s="2" t="n">
        <v>0.6</v>
      </c>
      <c r="N34" s="2" t="n">
        <v>2.89</v>
      </c>
      <c r="O34" s="2" t="n">
        <v>4.52</v>
      </c>
      <c r="P34" s="2" t="n">
        <v>10.9</v>
      </c>
      <c r="Q34" s="2" t="n">
        <v>37.62</v>
      </c>
    </row>
    <row r="35" customFormat="false" ht="15" hidden="false" customHeight="false" outlineLevel="0" collapsed="false">
      <c r="A35" s="2" t="s">
        <v>123</v>
      </c>
      <c r="B35" s="2" t="n">
        <v>2009</v>
      </c>
      <c r="C35" s="2" t="s">
        <v>54</v>
      </c>
      <c r="D35" s="2" t="s">
        <v>55</v>
      </c>
      <c r="E35" s="2" t="s">
        <v>200</v>
      </c>
      <c r="F35" s="2" t="n">
        <v>51</v>
      </c>
      <c r="G35" s="2" t="n">
        <v>0.37</v>
      </c>
      <c r="H35" s="2" t="n">
        <v>1.39</v>
      </c>
      <c r="I35" s="2" t="n">
        <v>0.71</v>
      </c>
      <c r="J35" s="2" t="n">
        <v>1.03</v>
      </c>
      <c r="K35" s="2" t="n">
        <v>13.72</v>
      </c>
      <c r="L35" s="2" t="n">
        <v>1</v>
      </c>
      <c r="M35" s="2" t="n">
        <v>0.61</v>
      </c>
      <c r="N35" s="2" t="n">
        <v>2.91</v>
      </c>
      <c r="O35" s="2" t="n">
        <v>4.19</v>
      </c>
      <c r="P35" s="2" t="n">
        <v>11.87</v>
      </c>
      <c r="Q35" s="2" t="n">
        <v>354.53</v>
      </c>
    </row>
    <row r="36" customFormat="false" ht="15" hidden="false" customHeight="false" outlineLevel="0" collapsed="false">
      <c r="A36" s="2" t="s">
        <v>125</v>
      </c>
      <c r="B36" s="2" t="n">
        <v>2009</v>
      </c>
      <c r="C36" s="2" t="s">
        <v>54</v>
      </c>
      <c r="D36" s="2" t="s">
        <v>55</v>
      </c>
      <c r="E36" s="2" t="s">
        <v>202</v>
      </c>
      <c r="F36" s="2" t="n">
        <v>52</v>
      </c>
      <c r="G36" s="2" t="n">
        <v>0.37</v>
      </c>
      <c r="H36" s="2" t="n">
        <v>1.41</v>
      </c>
      <c r="I36" s="2" t="n">
        <v>0.72</v>
      </c>
      <c r="J36" s="2" t="n">
        <v>1.02</v>
      </c>
      <c r="K36" s="2" t="n">
        <v>12.39</v>
      </c>
      <c r="L36" s="2" t="n">
        <v>0.99</v>
      </c>
      <c r="M36" s="2" t="n">
        <v>0.61</v>
      </c>
      <c r="N36" s="2" t="n">
        <v>2.81</v>
      </c>
      <c r="O36" s="2" t="n">
        <v>4.1</v>
      </c>
      <c r="P36" s="2" t="n">
        <v>10.07</v>
      </c>
      <c r="Q36" s="2" t="n">
        <v>151.72</v>
      </c>
    </row>
    <row r="37" customFormat="false" ht="15" hidden="false" customHeight="false" outlineLevel="0" collapsed="false">
      <c r="A37" s="2" t="s">
        <v>127</v>
      </c>
      <c r="B37" s="2" t="n">
        <v>2009</v>
      </c>
      <c r="C37" s="2" t="s">
        <v>54</v>
      </c>
      <c r="D37" s="2" t="s">
        <v>55</v>
      </c>
      <c r="E37" s="2" t="s">
        <v>204</v>
      </c>
      <c r="F37" s="2" t="n">
        <v>53</v>
      </c>
      <c r="G37" s="2" t="n">
        <v>0.37</v>
      </c>
      <c r="H37" s="2" t="n">
        <v>1.36</v>
      </c>
      <c r="I37" s="2" t="n">
        <v>0.72</v>
      </c>
      <c r="J37" s="2" t="n">
        <v>1.01</v>
      </c>
      <c r="K37" s="2" t="n">
        <v>13.7</v>
      </c>
      <c r="L37" s="2" t="n">
        <v>1.01</v>
      </c>
      <c r="M37" s="2" t="n">
        <v>0.61</v>
      </c>
      <c r="N37" s="2" t="n">
        <v>2.88</v>
      </c>
      <c r="O37" s="2" t="n">
        <v>3.98</v>
      </c>
      <c r="P37" s="2" t="n">
        <v>11.76</v>
      </c>
      <c r="Q37" s="2" t="n">
        <v>63.9</v>
      </c>
    </row>
    <row r="38" customFormat="false" ht="15" hidden="false" customHeight="false" outlineLevel="0" collapsed="false">
      <c r="A38" s="2" t="s">
        <v>129</v>
      </c>
      <c r="B38" s="2" t="n">
        <v>2009</v>
      </c>
      <c r="C38" s="2" t="s">
        <v>54</v>
      </c>
      <c r="D38" s="2" t="s">
        <v>55</v>
      </c>
      <c r="E38" s="2" t="s">
        <v>206</v>
      </c>
      <c r="F38" s="2" t="n">
        <v>54</v>
      </c>
      <c r="G38" s="2" t="n">
        <v>0.37</v>
      </c>
      <c r="H38" s="2" t="n">
        <v>1.37</v>
      </c>
      <c r="I38" s="2" t="n">
        <v>0.71</v>
      </c>
      <c r="J38" s="2" t="n">
        <v>1.03</v>
      </c>
      <c r="K38" s="2" t="n">
        <v>12.64</v>
      </c>
      <c r="L38" s="2" t="n">
        <v>0.99</v>
      </c>
      <c r="M38" s="2" t="n">
        <v>0.61</v>
      </c>
      <c r="N38" s="2" t="n">
        <v>2.94</v>
      </c>
      <c r="O38" s="2" t="n">
        <v>4.59</v>
      </c>
      <c r="P38" s="2" t="n">
        <v>10.61</v>
      </c>
      <c r="Q38" s="2" t="n">
        <v>30.6</v>
      </c>
    </row>
    <row r="39" customFormat="false" ht="15" hidden="false" customHeight="false" outlineLevel="0" collapsed="false">
      <c r="A39" s="2" t="s">
        <v>131</v>
      </c>
      <c r="B39" s="2" t="n">
        <v>2009</v>
      </c>
      <c r="C39" s="2" t="s">
        <v>54</v>
      </c>
      <c r="D39" s="2" t="s">
        <v>55</v>
      </c>
      <c r="E39" s="2" t="s">
        <v>208</v>
      </c>
      <c r="F39" s="2" t="n">
        <v>55</v>
      </c>
      <c r="G39" s="2" t="n">
        <v>0.37</v>
      </c>
      <c r="H39" s="2" t="n">
        <v>1.38</v>
      </c>
      <c r="I39" s="2" t="n">
        <v>0.71</v>
      </c>
      <c r="J39" s="2" t="n">
        <v>1.01</v>
      </c>
      <c r="K39" s="2" t="n">
        <v>13.22</v>
      </c>
      <c r="L39" s="2" t="n">
        <v>0.99</v>
      </c>
      <c r="M39" s="2" t="n">
        <v>0.6</v>
      </c>
      <c r="N39" s="2" t="n">
        <v>2.84</v>
      </c>
      <c r="O39" s="2" t="n">
        <v>4.34</v>
      </c>
      <c r="P39" s="2" t="n">
        <v>11.6</v>
      </c>
      <c r="Q39" s="2" t="n">
        <v>73.11</v>
      </c>
    </row>
    <row r="40" customFormat="false" ht="15" hidden="false" customHeight="false" outlineLevel="0" collapsed="false">
      <c r="A40" s="2" t="s">
        <v>133</v>
      </c>
      <c r="B40" s="2" t="n">
        <v>2009</v>
      </c>
      <c r="C40" s="2" t="s">
        <v>54</v>
      </c>
      <c r="D40" s="2" t="s">
        <v>55</v>
      </c>
      <c r="E40" s="2" t="s">
        <v>224</v>
      </c>
      <c r="F40" s="2" t="n">
        <v>56</v>
      </c>
      <c r="G40" s="2" t="n">
        <v>0.37</v>
      </c>
      <c r="H40" s="2" t="n">
        <v>1.43</v>
      </c>
      <c r="I40" s="2" t="n">
        <v>0.71</v>
      </c>
      <c r="J40" s="2" t="n">
        <v>1.03</v>
      </c>
      <c r="K40" s="2" t="n">
        <v>13.12</v>
      </c>
      <c r="L40" s="2" t="n">
        <v>1</v>
      </c>
      <c r="M40" s="2" t="n">
        <v>0.6</v>
      </c>
      <c r="N40" s="2" t="n">
        <v>3.05</v>
      </c>
      <c r="O40" s="2" t="n">
        <v>4.62</v>
      </c>
      <c r="P40" s="2" t="n">
        <v>12.48</v>
      </c>
      <c r="Q40" s="2" t="n">
        <v>133.75</v>
      </c>
    </row>
    <row r="41" customFormat="false" ht="15" hidden="false" customHeight="false" outlineLevel="0" collapsed="false">
      <c r="A41" s="2" t="s">
        <v>135</v>
      </c>
      <c r="B41" s="2" t="n">
        <v>2009</v>
      </c>
      <c r="C41" s="2" t="s">
        <v>136</v>
      </c>
      <c r="D41" s="2" t="s">
        <v>55</v>
      </c>
      <c r="E41" s="2" t="s">
        <v>225</v>
      </c>
      <c r="F41" s="2" t="n">
        <v>57</v>
      </c>
      <c r="G41" s="2" t="n">
        <v>0.37</v>
      </c>
      <c r="H41" s="2" t="n">
        <v>1.39</v>
      </c>
      <c r="I41" s="2" t="n">
        <v>0.72</v>
      </c>
      <c r="J41" s="2" t="n">
        <v>1.02</v>
      </c>
      <c r="K41" s="2" t="n">
        <v>10.24</v>
      </c>
      <c r="L41" s="2" t="n">
        <v>0.98</v>
      </c>
      <c r="M41" s="2" t="n">
        <v>0.61</v>
      </c>
      <c r="N41" s="2" t="n">
        <v>2.9</v>
      </c>
      <c r="O41" s="2" t="n">
        <v>4.2</v>
      </c>
      <c r="P41" s="2" t="n">
        <v>9.88</v>
      </c>
      <c r="Q41" s="2" t="n">
        <v>100</v>
      </c>
    </row>
    <row r="42" customFormat="false" ht="15" hidden="false" customHeight="false" outlineLevel="0" collapsed="false">
      <c r="A42" s="2" t="s">
        <v>138</v>
      </c>
      <c r="B42" s="2" t="n">
        <v>2009</v>
      </c>
      <c r="C42" s="2" t="s">
        <v>136</v>
      </c>
      <c r="D42" s="2" t="s">
        <v>55</v>
      </c>
      <c r="E42" s="2" t="s">
        <v>226</v>
      </c>
      <c r="F42" s="2" t="n">
        <v>58</v>
      </c>
      <c r="G42" s="2" t="n">
        <v>0.37</v>
      </c>
      <c r="H42" s="2" t="n">
        <v>1.4</v>
      </c>
      <c r="I42" s="2" t="n">
        <v>0.71</v>
      </c>
      <c r="J42" s="2" t="n">
        <v>1.03</v>
      </c>
      <c r="K42" s="2" t="n">
        <v>13.04</v>
      </c>
      <c r="L42" s="2" t="n">
        <v>0.98</v>
      </c>
      <c r="M42" s="2" t="n">
        <v>0.6</v>
      </c>
      <c r="N42" s="2" t="n">
        <v>2.87</v>
      </c>
      <c r="O42" s="2" t="n">
        <v>4.25</v>
      </c>
      <c r="P42" s="2" t="n">
        <v>13.06</v>
      </c>
      <c r="Q42" s="2" t="n">
        <v>202.45</v>
      </c>
    </row>
    <row r="43" customFormat="false" ht="15" hidden="false" customHeight="false" outlineLevel="0" collapsed="false">
      <c r="A43" s="2" t="s">
        <v>140</v>
      </c>
      <c r="B43" s="2" t="n">
        <v>2009</v>
      </c>
      <c r="C43" s="2" t="s">
        <v>136</v>
      </c>
      <c r="D43" s="2" t="s">
        <v>55</v>
      </c>
      <c r="E43" s="2" t="s">
        <v>227</v>
      </c>
      <c r="F43" s="2" t="n">
        <v>59</v>
      </c>
      <c r="G43" s="2" t="n">
        <v>0.37</v>
      </c>
      <c r="H43" s="2" t="n">
        <v>1.4</v>
      </c>
      <c r="I43" s="2" t="n">
        <v>0.72</v>
      </c>
      <c r="J43" s="2" t="n">
        <v>1.03</v>
      </c>
      <c r="K43" s="2" t="n">
        <v>14.06</v>
      </c>
      <c r="L43" s="2" t="n">
        <v>1.01</v>
      </c>
      <c r="M43" s="2" t="n">
        <v>0.6</v>
      </c>
      <c r="N43" s="2" t="n">
        <v>2.92</v>
      </c>
      <c r="O43" s="2" t="n">
        <v>4.39</v>
      </c>
      <c r="P43" s="2" t="n">
        <v>13.08</v>
      </c>
      <c r="Q43" s="2" t="n">
        <v>44.05</v>
      </c>
    </row>
    <row r="44" customFormat="false" ht="15" hidden="false" customHeight="false" outlineLevel="0" collapsed="false">
      <c r="A44" s="2" t="s">
        <v>142</v>
      </c>
      <c r="B44" s="2" t="n">
        <v>2009</v>
      </c>
      <c r="C44" s="2" t="s">
        <v>136</v>
      </c>
      <c r="D44" s="2" t="s">
        <v>55</v>
      </c>
      <c r="E44" s="2" t="s">
        <v>228</v>
      </c>
      <c r="F44" s="2" t="n">
        <v>60</v>
      </c>
      <c r="G44" s="2" t="n">
        <v>0.37</v>
      </c>
      <c r="H44" s="2" t="n">
        <v>1.38</v>
      </c>
      <c r="I44" s="2" t="n">
        <v>0.71</v>
      </c>
      <c r="J44" s="2" t="n">
        <v>1.02</v>
      </c>
      <c r="K44" s="2" t="n">
        <v>12.97</v>
      </c>
      <c r="L44" s="2" t="n">
        <v>0.99</v>
      </c>
      <c r="M44" s="2" t="n">
        <v>0.6</v>
      </c>
      <c r="N44" s="2" t="n">
        <v>2.83</v>
      </c>
      <c r="O44" s="2" t="n">
        <v>4.17</v>
      </c>
      <c r="P44" s="2" t="n">
        <v>11.4</v>
      </c>
      <c r="Q44" s="2" t="n">
        <v>50.64</v>
      </c>
    </row>
    <row r="45" customFormat="false" ht="15" hidden="false" customHeight="false" outlineLevel="0" collapsed="false">
      <c r="A45" s="2" t="s">
        <v>144</v>
      </c>
      <c r="B45" s="2" t="n">
        <v>2009</v>
      </c>
      <c r="C45" s="2" t="s">
        <v>136</v>
      </c>
      <c r="D45" s="2" t="s">
        <v>55</v>
      </c>
      <c r="E45" s="2" t="s">
        <v>229</v>
      </c>
      <c r="F45" s="2" t="n">
        <v>61</v>
      </c>
      <c r="G45" s="2" t="n">
        <v>0.37</v>
      </c>
      <c r="H45" s="2" t="n">
        <v>1.4</v>
      </c>
      <c r="I45" s="2" t="n">
        <v>0.71</v>
      </c>
      <c r="J45" s="2" t="n">
        <v>1.02</v>
      </c>
      <c r="K45" s="2" t="n">
        <v>12.63</v>
      </c>
      <c r="L45" s="2" t="n">
        <v>0.99</v>
      </c>
      <c r="M45" s="2" t="n">
        <v>0.6</v>
      </c>
      <c r="N45" s="2" t="n">
        <v>3.02</v>
      </c>
      <c r="O45" s="2" t="n">
        <v>4.7</v>
      </c>
      <c r="P45" s="2" t="n">
        <v>11.73</v>
      </c>
      <c r="Q45" s="2" t="n">
        <v>39.04</v>
      </c>
    </row>
    <row r="46" customFormat="false" ht="15" hidden="false" customHeight="false" outlineLevel="0" collapsed="false">
      <c r="A46" s="2" t="s">
        <v>146</v>
      </c>
      <c r="B46" s="2" t="n">
        <v>2009</v>
      </c>
      <c r="C46" s="2" t="s">
        <v>136</v>
      </c>
      <c r="D46" s="2" t="s">
        <v>55</v>
      </c>
      <c r="E46" s="2" t="s">
        <v>230</v>
      </c>
      <c r="F46" s="2" t="n">
        <v>62</v>
      </c>
      <c r="G46" s="2" t="n">
        <v>0.37</v>
      </c>
      <c r="H46" s="2" t="n">
        <v>1.41</v>
      </c>
      <c r="I46" s="2" t="n">
        <v>0.71</v>
      </c>
      <c r="J46" s="2" t="n">
        <v>1.03</v>
      </c>
      <c r="K46" s="2" t="n">
        <v>13.39</v>
      </c>
      <c r="L46" s="2" t="n">
        <v>0.99</v>
      </c>
      <c r="M46" s="2" t="n">
        <v>0.6</v>
      </c>
      <c r="N46" s="2" t="n">
        <v>2.91</v>
      </c>
      <c r="O46" s="2" t="n">
        <v>4.36</v>
      </c>
      <c r="P46" s="2" t="n">
        <v>13.02</v>
      </c>
      <c r="Q46" s="2" t="n">
        <v>31.96</v>
      </c>
    </row>
    <row r="47" customFormat="false" ht="15" hidden="false" customHeight="false" outlineLevel="0" collapsed="false">
      <c r="A47" s="2" t="s">
        <v>148</v>
      </c>
      <c r="B47" s="2" t="n">
        <v>2009</v>
      </c>
      <c r="C47" s="2" t="s">
        <v>136</v>
      </c>
      <c r="D47" s="2" t="s">
        <v>55</v>
      </c>
      <c r="E47" s="2" t="s">
        <v>231</v>
      </c>
      <c r="F47" s="2" t="n">
        <v>63</v>
      </c>
      <c r="G47" s="2" t="n">
        <v>0.37</v>
      </c>
      <c r="H47" s="2" t="n">
        <v>1.38</v>
      </c>
      <c r="I47" s="2" t="n">
        <v>0.72</v>
      </c>
      <c r="J47" s="2" t="n">
        <v>1.02</v>
      </c>
      <c r="K47" s="2" t="n">
        <v>13.89</v>
      </c>
      <c r="L47" s="2" t="n">
        <v>0.98</v>
      </c>
      <c r="M47" s="2" t="n">
        <v>0.6</v>
      </c>
      <c r="N47" s="2" t="n">
        <v>2.97</v>
      </c>
      <c r="O47" s="2" t="n">
        <v>4.65</v>
      </c>
      <c r="P47" s="2" t="n">
        <v>13.39</v>
      </c>
      <c r="Q47" s="2" t="n">
        <v>25.13</v>
      </c>
    </row>
    <row r="48" customFormat="false" ht="15" hidden="false" customHeight="false" outlineLevel="0" collapsed="false">
      <c r="A48" s="2" t="s">
        <v>150</v>
      </c>
      <c r="B48" s="2" t="n">
        <v>2009</v>
      </c>
      <c r="C48" s="2" t="s">
        <v>136</v>
      </c>
      <c r="D48" s="2" t="s">
        <v>55</v>
      </c>
      <c r="E48" s="2" t="s">
        <v>232</v>
      </c>
      <c r="F48" s="2" t="n">
        <v>64</v>
      </c>
      <c r="G48" s="2" t="n">
        <v>0.37</v>
      </c>
      <c r="H48" s="2" t="n">
        <v>1.29</v>
      </c>
      <c r="I48" s="2" t="n">
        <v>0.73</v>
      </c>
      <c r="J48" s="2" t="n">
        <v>0.99</v>
      </c>
      <c r="K48" s="2" t="n">
        <v>11.93</v>
      </c>
      <c r="L48" s="2" t="n">
        <v>1.03</v>
      </c>
      <c r="M48" s="2" t="n">
        <v>0.62</v>
      </c>
      <c r="N48" s="2" t="n">
        <v>2.81</v>
      </c>
      <c r="O48" s="2" t="n">
        <v>4.12</v>
      </c>
      <c r="P48" s="2" t="n">
        <v>11.12</v>
      </c>
      <c r="Q48" s="2" t="n">
        <v>33.59</v>
      </c>
    </row>
    <row r="49" customFormat="false" ht="15" hidden="false" customHeight="false" outlineLevel="0" collapsed="false">
      <c r="A49" s="2" t="s">
        <v>152</v>
      </c>
      <c r="B49" s="2" t="n">
        <v>2009</v>
      </c>
      <c r="C49" s="2" t="s">
        <v>136</v>
      </c>
      <c r="D49" s="2" t="s">
        <v>55</v>
      </c>
      <c r="E49" s="2" t="s">
        <v>233</v>
      </c>
      <c r="F49" s="2" t="n">
        <v>65</v>
      </c>
      <c r="G49" s="2" t="n">
        <v>0.37</v>
      </c>
      <c r="H49" s="2" t="n">
        <v>1.36</v>
      </c>
      <c r="I49" s="2" t="n">
        <v>0.71</v>
      </c>
      <c r="J49" s="2" t="n">
        <v>1.01</v>
      </c>
      <c r="K49" s="2" t="n">
        <v>11.09</v>
      </c>
      <c r="L49" s="2" t="n">
        <v>0.99</v>
      </c>
      <c r="M49" s="2" t="n">
        <v>0.61</v>
      </c>
      <c r="N49" s="2" t="n">
        <v>2.92</v>
      </c>
      <c r="O49" s="2" t="n">
        <v>4.33</v>
      </c>
      <c r="P49" s="2" t="n">
        <v>11.23</v>
      </c>
      <c r="Q49" s="2" t="n">
        <v>39.91</v>
      </c>
    </row>
    <row r="50" customFormat="false" ht="15" hidden="false" customHeight="false" outlineLevel="0" collapsed="false">
      <c r="A50" s="2" t="s">
        <v>154</v>
      </c>
      <c r="B50" s="2" t="n">
        <v>2009</v>
      </c>
      <c r="C50" s="2" t="s">
        <v>136</v>
      </c>
      <c r="D50" s="2" t="s">
        <v>55</v>
      </c>
      <c r="E50" s="2" t="s">
        <v>234</v>
      </c>
      <c r="F50" s="2" t="n">
        <v>66</v>
      </c>
      <c r="G50" s="2" t="n">
        <v>0.37</v>
      </c>
      <c r="H50" s="2" t="n">
        <v>1.39</v>
      </c>
      <c r="I50" s="2" t="n">
        <v>0.72</v>
      </c>
      <c r="J50" s="2" t="n">
        <v>1.03</v>
      </c>
      <c r="K50" s="2" t="n">
        <v>8.75</v>
      </c>
      <c r="L50" s="2" t="n">
        <v>0.98</v>
      </c>
      <c r="M50" s="2" t="n">
        <v>0.6</v>
      </c>
      <c r="N50" s="2" t="n">
        <v>2.86</v>
      </c>
      <c r="O50" s="2" t="n">
        <v>4.55</v>
      </c>
      <c r="P50" s="2" t="n">
        <v>10.98</v>
      </c>
      <c r="Q50" s="2" t="n">
        <v>98.08</v>
      </c>
    </row>
    <row r="51" customFormat="false" ht="15" hidden="false" customHeight="false" outlineLevel="0" collapsed="false">
      <c r="A51" s="2" t="s">
        <v>156</v>
      </c>
      <c r="B51" s="2" t="n">
        <v>2009</v>
      </c>
      <c r="C51" s="2" t="s">
        <v>136</v>
      </c>
      <c r="D51" s="2" t="s">
        <v>55</v>
      </c>
      <c r="E51" s="2" t="s">
        <v>235</v>
      </c>
      <c r="F51" s="2" t="n">
        <v>67</v>
      </c>
      <c r="G51" s="2" t="n">
        <v>0.37</v>
      </c>
      <c r="H51" s="2" t="n">
        <v>1.42</v>
      </c>
      <c r="I51" s="2" t="n">
        <v>0.71</v>
      </c>
      <c r="J51" s="2" t="n">
        <v>1.02</v>
      </c>
      <c r="K51" s="2" t="n">
        <v>13.81</v>
      </c>
      <c r="L51" s="2" t="n">
        <v>0.99</v>
      </c>
      <c r="M51" s="2" t="n">
        <v>0.6</v>
      </c>
      <c r="N51" s="2" t="n">
        <v>2.94</v>
      </c>
      <c r="O51" s="2" t="n">
        <v>4.81</v>
      </c>
      <c r="P51" s="2" t="n">
        <v>14.52</v>
      </c>
      <c r="Q51" s="2" t="n">
        <v>74.58</v>
      </c>
    </row>
    <row r="52" customFormat="false" ht="15" hidden="false" customHeight="false" outlineLevel="0" collapsed="false">
      <c r="A52" s="2" t="s">
        <v>158</v>
      </c>
      <c r="B52" s="2" t="n">
        <v>2009</v>
      </c>
      <c r="C52" s="2" t="s">
        <v>136</v>
      </c>
      <c r="D52" s="2" t="s">
        <v>55</v>
      </c>
      <c r="E52" s="2" t="s">
        <v>236</v>
      </c>
      <c r="F52" s="2" t="n">
        <v>68</v>
      </c>
      <c r="G52" s="2" t="n">
        <v>0.37</v>
      </c>
      <c r="H52" s="2" t="n">
        <v>1.39</v>
      </c>
      <c r="I52" s="2" t="n">
        <v>0.72</v>
      </c>
      <c r="J52" s="2" t="n">
        <v>1.02</v>
      </c>
      <c r="K52" s="2" t="n">
        <v>11.11</v>
      </c>
      <c r="L52" s="2" t="n">
        <v>1</v>
      </c>
      <c r="M52" s="2" t="n">
        <v>0.6</v>
      </c>
      <c r="N52" s="2" t="n">
        <v>2.89</v>
      </c>
      <c r="O52" s="2" t="n">
        <v>4.34</v>
      </c>
      <c r="P52" s="2" t="n">
        <v>12.05</v>
      </c>
      <c r="Q52" s="2" t="n">
        <v>95.1</v>
      </c>
    </row>
    <row r="53" customFormat="false" ht="15" hidden="false" customHeight="false" outlineLevel="0" collapsed="false">
      <c r="A53" s="2" t="s">
        <v>160</v>
      </c>
      <c r="B53" s="2" t="n">
        <v>2009</v>
      </c>
      <c r="C53" s="2" t="s">
        <v>136</v>
      </c>
      <c r="D53" s="2" t="s">
        <v>55</v>
      </c>
      <c r="E53" s="2" t="s">
        <v>237</v>
      </c>
      <c r="F53" s="2" t="n">
        <v>69</v>
      </c>
      <c r="G53" s="2" t="n">
        <v>0.37</v>
      </c>
      <c r="H53" s="2" t="n">
        <v>1.39</v>
      </c>
      <c r="I53" s="2" t="n">
        <v>0.71</v>
      </c>
      <c r="J53" s="2" t="n">
        <v>1.01</v>
      </c>
      <c r="K53" s="2" t="n">
        <v>12.09</v>
      </c>
      <c r="L53" s="2" t="n">
        <v>1.02</v>
      </c>
      <c r="M53" s="2" t="n">
        <v>0.61</v>
      </c>
      <c r="N53" s="2" t="n">
        <v>2.79</v>
      </c>
      <c r="O53" s="2" t="n">
        <v>4.42</v>
      </c>
      <c r="P53" s="2" t="n">
        <v>11.48</v>
      </c>
      <c r="Q53" s="2" t="n">
        <v>55.84</v>
      </c>
    </row>
    <row r="54" customFormat="false" ht="15" hidden="false" customHeight="false" outlineLevel="0" collapsed="false">
      <c r="A54" s="2" t="s">
        <v>162</v>
      </c>
      <c r="B54" s="2" t="n">
        <v>2009</v>
      </c>
      <c r="C54" s="2" t="s">
        <v>136</v>
      </c>
      <c r="D54" s="2" t="s">
        <v>55</v>
      </c>
      <c r="E54" s="2" t="s">
        <v>238</v>
      </c>
      <c r="F54" s="2" t="n">
        <v>70</v>
      </c>
      <c r="G54" s="2" t="n">
        <v>0.37</v>
      </c>
      <c r="H54" s="2" t="n">
        <v>1.41</v>
      </c>
      <c r="I54" s="2" t="n">
        <v>0.72</v>
      </c>
      <c r="J54" s="2" t="n">
        <v>1.02</v>
      </c>
      <c r="K54" s="2" t="n">
        <v>12.09</v>
      </c>
      <c r="L54" s="2" t="n">
        <v>1</v>
      </c>
      <c r="M54" s="2" t="n">
        <v>0.6</v>
      </c>
      <c r="N54" s="2" t="n">
        <v>3.07</v>
      </c>
      <c r="O54" s="2" t="n">
        <v>4.28</v>
      </c>
      <c r="P54" s="2" t="n">
        <v>11.54</v>
      </c>
      <c r="Q54" s="2" t="n">
        <v>24.47</v>
      </c>
    </row>
    <row r="55" customFormat="false" ht="15" hidden="false" customHeight="false" outlineLevel="0" collapsed="false">
      <c r="A55" s="2" t="s">
        <v>164</v>
      </c>
      <c r="B55" s="2" t="n">
        <v>2009</v>
      </c>
      <c r="C55" s="2" t="s">
        <v>136</v>
      </c>
      <c r="D55" s="2" t="s">
        <v>55</v>
      </c>
      <c r="E55" s="2" t="s">
        <v>239</v>
      </c>
      <c r="F55" s="2" t="n">
        <v>71</v>
      </c>
      <c r="G55" s="2" t="n">
        <v>0.37</v>
      </c>
      <c r="H55" s="2" t="n">
        <v>1.42</v>
      </c>
      <c r="I55" s="2" t="n">
        <v>0.72</v>
      </c>
      <c r="J55" s="2" t="n">
        <v>1.02</v>
      </c>
      <c r="K55" s="2" t="n">
        <v>12.34</v>
      </c>
      <c r="L55" s="2" t="n">
        <v>0.97</v>
      </c>
      <c r="M55" s="2" t="n">
        <v>0.6</v>
      </c>
      <c r="N55" s="2" t="n">
        <v>2.95</v>
      </c>
      <c r="O55" s="2" t="n">
        <v>4.31</v>
      </c>
      <c r="P55" s="2" t="n">
        <v>11.41</v>
      </c>
      <c r="Q55" s="2" t="n">
        <v>33.05</v>
      </c>
    </row>
    <row r="56" customFormat="false" ht="15" hidden="false" customHeight="false" outlineLevel="0" collapsed="false">
      <c r="A56" s="2" t="s">
        <v>166</v>
      </c>
      <c r="B56" s="2" t="n">
        <v>2009</v>
      </c>
      <c r="C56" s="2" t="s">
        <v>136</v>
      </c>
      <c r="D56" s="2" t="s">
        <v>55</v>
      </c>
      <c r="E56" s="2" t="s">
        <v>240</v>
      </c>
      <c r="F56" s="2" t="n">
        <v>72</v>
      </c>
      <c r="G56" s="2" t="n">
        <v>0.37</v>
      </c>
      <c r="H56" s="2" t="n">
        <v>1.39</v>
      </c>
      <c r="I56" s="2" t="n">
        <v>0.71</v>
      </c>
      <c r="J56" s="2" t="n">
        <v>1.02</v>
      </c>
      <c r="K56" s="2" t="n">
        <v>11.73</v>
      </c>
      <c r="L56" s="2" t="n">
        <v>1</v>
      </c>
      <c r="M56" s="2" t="n">
        <v>0.61</v>
      </c>
      <c r="N56" s="2" t="n">
        <v>2.92</v>
      </c>
      <c r="O56" s="2" t="n">
        <v>4.14</v>
      </c>
      <c r="P56" s="2" t="n">
        <v>10.52</v>
      </c>
      <c r="Q56" s="2" t="n">
        <v>33.73</v>
      </c>
    </row>
    <row r="57" customFormat="false" ht="15" hidden="false" customHeight="false" outlineLevel="0" collapsed="false">
      <c r="A57" s="2" t="s">
        <v>168</v>
      </c>
      <c r="B57" s="2" t="n">
        <v>2009</v>
      </c>
      <c r="C57" s="2" t="s">
        <v>136</v>
      </c>
      <c r="D57" s="2" t="s">
        <v>55</v>
      </c>
      <c r="E57" s="2" t="s">
        <v>241</v>
      </c>
      <c r="F57" s="2" t="n">
        <v>73</v>
      </c>
      <c r="G57" s="2" t="n">
        <v>0.37</v>
      </c>
      <c r="H57" s="2" t="n">
        <v>1.39</v>
      </c>
      <c r="I57" s="2" t="n">
        <v>0.71</v>
      </c>
      <c r="J57" s="2" t="n">
        <v>1.03</v>
      </c>
      <c r="K57" s="2" t="n">
        <v>12.96</v>
      </c>
      <c r="L57" s="2" t="n">
        <v>1.01</v>
      </c>
      <c r="M57" s="2" t="n">
        <v>0.61</v>
      </c>
      <c r="N57" s="2" t="n">
        <v>2.96</v>
      </c>
      <c r="O57" s="2" t="n">
        <v>4.42</v>
      </c>
      <c r="P57" s="2" t="n">
        <v>11.1</v>
      </c>
      <c r="Q57" s="2" t="n">
        <v>45.35</v>
      </c>
    </row>
    <row r="58" customFormat="false" ht="15" hidden="false" customHeight="false" outlineLevel="0" collapsed="false">
      <c r="A58" s="2" t="s">
        <v>170</v>
      </c>
      <c r="B58" s="2" t="n">
        <v>2009</v>
      </c>
      <c r="C58" s="2" t="s">
        <v>136</v>
      </c>
      <c r="D58" s="2" t="s">
        <v>55</v>
      </c>
      <c r="E58" s="2" t="s">
        <v>242</v>
      </c>
      <c r="F58" s="2" t="n">
        <v>74</v>
      </c>
      <c r="G58" s="2" t="n">
        <v>0.37</v>
      </c>
      <c r="H58" s="2" t="n">
        <v>1.4</v>
      </c>
      <c r="I58" s="2" t="n">
        <v>0.71</v>
      </c>
      <c r="J58" s="2" t="n">
        <v>1.04</v>
      </c>
      <c r="K58" s="2" t="n">
        <v>9.9</v>
      </c>
      <c r="L58" s="2" t="n">
        <v>0.98</v>
      </c>
      <c r="M58" s="2" t="n">
        <v>0.6</v>
      </c>
      <c r="N58" s="2" t="n">
        <v>2.97</v>
      </c>
      <c r="O58" s="2" t="n">
        <v>4.48</v>
      </c>
      <c r="P58" s="2" t="n">
        <v>13.9</v>
      </c>
      <c r="Q58" s="2" t="n">
        <v>54.08</v>
      </c>
    </row>
    <row r="59" customFormat="false" ht="15" hidden="false" customHeight="false" outlineLevel="0" collapsed="false">
      <c r="A59" s="2" t="s">
        <v>172</v>
      </c>
      <c r="B59" s="2" t="n">
        <v>2009</v>
      </c>
      <c r="C59" s="2" t="s">
        <v>136</v>
      </c>
      <c r="D59" s="2" t="s">
        <v>55</v>
      </c>
      <c r="E59" s="2" t="s">
        <v>243</v>
      </c>
      <c r="F59" s="2" t="n">
        <v>75</v>
      </c>
      <c r="G59" s="2" t="n">
        <v>0.37</v>
      </c>
      <c r="H59" s="2" t="n">
        <v>1.4</v>
      </c>
      <c r="I59" s="2" t="n">
        <v>0.72</v>
      </c>
      <c r="J59" s="2" t="n">
        <v>1.02</v>
      </c>
      <c r="K59" s="2" t="n">
        <v>13.66</v>
      </c>
      <c r="L59" s="2" t="n">
        <v>1</v>
      </c>
      <c r="M59" s="2" t="n">
        <v>0.61</v>
      </c>
      <c r="N59" s="2" t="n">
        <v>2.95</v>
      </c>
      <c r="O59" s="2" t="n">
        <v>4.2</v>
      </c>
      <c r="P59" s="2" t="n">
        <v>10.9</v>
      </c>
      <c r="Q59" s="2" t="n">
        <v>27.43</v>
      </c>
    </row>
    <row r="60" customFormat="false" ht="15" hidden="false" customHeight="false" outlineLevel="0" collapsed="false">
      <c r="A60" s="2" t="s">
        <v>174</v>
      </c>
      <c r="B60" s="2" t="n">
        <v>2009</v>
      </c>
      <c r="C60" s="2" t="s">
        <v>136</v>
      </c>
      <c r="D60" s="2" t="s">
        <v>55</v>
      </c>
      <c r="E60" s="2" t="s">
        <v>244</v>
      </c>
      <c r="F60" s="2" t="n">
        <v>76</v>
      </c>
      <c r="G60" s="2" t="n">
        <v>0.37</v>
      </c>
      <c r="H60" s="2" t="n">
        <v>1.35</v>
      </c>
      <c r="I60" s="2" t="n">
        <v>0.71</v>
      </c>
      <c r="J60" s="2" t="n">
        <v>1.01</v>
      </c>
      <c r="K60" s="2" t="n">
        <v>10.98</v>
      </c>
      <c r="L60" s="2" t="n">
        <v>1.01</v>
      </c>
      <c r="M60" s="2" t="n">
        <v>0.61</v>
      </c>
      <c r="N60" s="2" t="n">
        <v>2.94</v>
      </c>
      <c r="O60" s="2" t="n">
        <v>4.22</v>
      </c>
      <c r="P60" s="2" t="n">
        <v>11.64</v>
      </c>
      <c r="Q60" s="2" t="n">
        <v>53.85</v>
      </c>
    </row>
    <row r="61" customFormat="false" ht="15" hidden="false" customHeight="false" outlineLevel="0" collapsed="false">
      <c r="A61" s="2" t="s">
        <v>176</v>
      </c>
      <c r="B61" s="2" t="n">
        <v>2009</v>
      </c>
      <c r="C61" s="2" t="s">
        <v>136</v>
      </c>
      <c r="D61" s="2" t="s">
        <v>55</v>
      </c>
      <c r="E61" s="2" t="s">
        <v>245</v>
      </c>
      <c r="F61" s="2" t="n">
        <v>77</v>
      </c>
      <c r="G61" s="2" t="n">
        <v>0.37</v>
      </c>
      <c r="H61" s="2" t="n">
        <v>1.39</v>
      </c>
      <c r="I61" s="2" t="n">
        <v>0.71</v>
      </c>
      <c r="J61" s="2" t="n">
        <v>1.02</v>
      </c>
      <c r="K61" s="2" t="n">
        <v>13.54</v>
      </c>
      <c r="L61" s="2" t="n">
        <v>1</v>
      </c>
      <c r="M61" s="2" t="n">
        <v>0.6</v>
      </c>
      <c r="N61" s="2" t="n">
        <v>2.97</v>
      </c>
      <c r="O61" s="2" t="n">
        <v>4.43</v>
      </c>
      <c r="P61" s="2" t="n">
        <v>12.15</v>
      </c>
      <c r="Q61" s="2" t="n">
        <v>46.06</v>
      </c>
    </row>
    <row r="62" customFormat="false" ht="15" hidden="false" customHeight="false" outlineLevel="0" collapsed="false">
      <c r="A62" s="2" t="s">
        <v>178</v>
      </c>
      <c r="B62" s="2" t="n">
        <v>2009</v>
      </c>
      <c r="C62" s="2" t="s">
        <v>136</v>
      </c>
      <c r="D62" s="2" t="s">
        <v>55</v>
      </c>
      <c r="E62" s="2" t="s">
        <v>246</v>
      </c>
      <c r="F62" s="2" t="n">
        <v>78</v>
      </c>
      <c r="G62" s="2" t="n">
        <v>0.37</v>
      </c>
      <c r="H62" s="2" t="n">
        <v>1.39</v>
      </c>
      <c r="I62" s="2" t="n">
        <v>0.72</v>
      </c>
      <c r="J62" s="2" t="n">
        <v>1.01</v>
      </c>
      <c r="K62" s="2" t="n">
        <v>10.51</v>
      </c>
      <c r="L62" s="2" t="n">
        <v>1.01</v>
      </c>
      <c r="M62" s="2" t="n">
        <v>0.6</v>
      </c>
      <c r="N62" s="2" t="n">
        <v>2.87</v>
      </c>
      <c r="O62" s="2" t="n">
        <v>4.39</v>
      </c>
      <c r="P62" s="2" t="n">
        <v>11.05</v>
      </c>
      <c r="Q62" s="2" t="n">
        <v>75.71</v>
      </c>
    </row>
    <row r="63" customFormat="false" ht="15" hidden="false" customHeight="false" outlineLevel="0" collapsed="false">
      <c r="A63" s="2" t="s">
        <v>180</v>
      </c>
      <c r="B63" s="2" t="n">
        <v>2009</v>
      </c>
      <c r="C63" s="2" t="s">
        <v>136</v>
      </c>
      <c r="D63" s="2" t="s">
        <v>55</v>
      </c>
      <c r="E63" s="2" t="s">
        <v>247</v>
      </c>
      <c r="F63" s="2" t="n">
        <v>79</v>
      </c>
      <c r="G63" s="2" t="n">
        <v>0.37</v>
      </c>
      <c r="H63" s="2" t="n">
        <v>1.39</v>
      </c>
      <c r="I63" s="2" t="n">
        <v>0.71</v>
      </c>
      <c r="J63" s="2" t="n">
        <v>1.02</v>
      </c>
      <c r="K63" s="2" t="n">
        <v>12.36</v>
      </c>
      <c r="L63" s="2" t="n">
        <v>0.99</v>
      </c>
      <c r="M63" s="2" t="n">
        <v>0.61</v>
      </c>
      <c r="N63" s="2" t="n">
        <v>3.21</v>
      </c>
      <c r="O63" s="2" t="n">
        <v>4.63</v>
      </c>
      <c r="P63" s="2" t="n">
        <v>10.59</v>
      </c>
      <c r="Q63" s="2" t="n">
        <v>49.17</v>
      </c>
    </row>
    <row r="64" customFormat="false" ht="15" hidden="false" customHeight="false" outlineLevel="0" collapsed="false">
      <c r="A64" s="2" t="s">
        <v>182</v>
      </c>
      <c r="B64" s="2" t="n">
        <v>2009</v>
      </c>
      <c r="C64" s="2" t="s">
        <v>136</v>
      </c>
      <c r="D64" s="2" t="s">
        <v>55</v>
      </c>
      <c r="E64" s="2" t="s">
        <v>248</v>
      </c>
      <c r="F64" s="2" t="n">
        <v>80</v>
      </c>
      <c r="G64" s="2" t="n">
        <v>0.37</v>
      </c>
      <c r="H64" s="2" t="n">
        <v>1.44</v>
      </c>
      <c r="I64" s="2" t="n">
        <v>0.71</v>
      </c>
      <c r="J64" s="2" t="n">
        <v>1.02</v>
      </c>
      <c r="K64" s="2" t="n">
        <v>10.97</v>
      </c>
      <c r="L64" s="2" t="n">
        <v>0.99</v>
      </c>
      <c r="M64" s="2" t="n">
        <v>0.6</v>
      </c>
      <c r="N64" s="2" t="n">
        <v>2.89</v>
      </c>
      <c r="O64" s="2" t="n">
        <v>4.25</v>
      </c>
      <c r="P64" s="2" t="n">
        <v>11.71</v>
      </c>
      <c r="Q64" s="2" t="n">
        <v>54.4</v>
      </c>
    </row>
    <row r="65" customFormat="false" ht="15" hidden="false" customHeight="false" outlineLevel="0" collapsed="false">
      <c r="A65" s="2" t="s">
        <v>184</v>
      </c>
      <c r="B65" s="2" t="n">
        <v>2009</v>
      </c>
      <c r="C65" s="2" t="s">
        <v>136</v>
      </c>
      <c r="D65" s="2" t="s">
        <v>55</v>
      </c>
      <c r="E65" s="2" t="s">
        <v>249</v>
      </c>
      <c r="F65" s="2" t="n">
        <v>81</v>
      </c>
      <c r="G65" s="2" t="n">
        <v>0.37</v>
      </c>
      <c r="H65" s="2" t="n">
        <v>1.42</v>
      </c>
      <c r="I65" s="2" t="n">
        <v>0.72</v>
      </c>
      <c r="J65" s="2" t="n">
        <v>1.01</v>
      </c>
      <c r="K65" s="2" t="n">
        <v>11.77</v>
      </c>
      <c r="L65" s="2" t="n">
        <v>0.98</v>
      </c>
      <c r="M65" s="2" t="n">
        <v>0.6</v>
      </c>
      <c r="N65" s="2" t="n">
        <v>3.06</v>
      </c>
      <c r="O65" s="2" t="n">
        <v>4.23</v>
      </c>
      <c r="P65" s="2" t="n">
        <v>11.38</v>
      </c>
      <c r="Q65" s="2" t="n">
        <v>29.18</v>
      </c>
    </row>
    <row r="66" customFormat="false" ht="15" hidden="false" customHeight="false" outlineLevel="0" collapsed="false">
      <c r="A66" s="2" t="s">
        <v>186</v>
      </c>
      <c r="B66" s="2" t="n">
        <v>2009</v>
      </c>
      <c r="C66" s="2" t="s">
        <v>136</v>
      </c>
      <c r="D66" s="2" t="s">
        <v>55</v>
      </c>
      <c r="E66" s="2" t="s">
        <v>250</v>
      </c>
      <c r="F66" s="2" t="n">
        <v>82</v>
      </c>
      <c r="G66" s="2" t="n">
        <v>0.36</v>
      </c>
      <c r="H66" s="2" t="n">
        <v>1.38</v>
      </c>
      <c r="I66" s="2" t="n">
        <v>0.71</v>
      </c>
      <c r="J66" s="2" t="n">
        <v>1.02</v>
      </c>
      <c r="K66" s="2" t="n">
        <v>10.12</v>
      </c>
      <c r="L66" s="2" t="n">
        <v>1</v>
      </c>
      <c r="M66" s="2" t="n">
        <v>0.6</v>
      </c>
      <c r="N66" s="2" t="n">
        <v>2.91</v>
      </c>
      <c r="O66" s="2" t="n">
        <v>4.65</v>
      </c>
      <c r="P66" s="2" t="n">
        <v>11.97</v>
      </c>
      <c r="Q66" s="2" t="n">
        <v>36.97</v>
      </c>
    </row>
    <row r="67" customFormat="false" ht="15" hidden="false" customHeight="false" outlineLevel="0" collapsed="false">
      <c r="A67" s="2" t="s">
        <v>188</v>
      </c>
      <c r="B67" s="2" t="n">
        <v>2009</v>
      </c>
      <c r="C67" s="2" t="s">
        <v>136</v>
      </c>
      <c r="D67" s="2" t="s">
        <v>55</v>
      </c>
      <c r="E67" s="2" t="s">
        <v>251</v>
      </c>
      <c r="F67" s="2" t="n">
        <v>83</v>
      </c>
      <c r="G67" s="2" t="n">
        <v>0.37</v>
      </c>
      <c r="H67" s="2" t="n">
        <v>1.35</v>
      </c>
      <c r="I67" s="2" t="n">
        <v>0.71</v>
      </c>
      <c r="J67" s="2" t="n">
        <v>1.02</v>
      </c>
      <c r="K67" s="2" t="n">
        <v>11.36</v>
      </c>
      <c r="L67" s="2" t="n">
        <v>1</v>
      </c>
      <c r="M67" s="2" t="n">
        <v>0.61</v>
      </c>
      <c r="N67" s="2" t="n">
        <v>2.94</v>
      </c>
      <c r="O67" s="2" t="n">
        <v>4.14</v>
      </c>
      <c r="P67" s="2" t="n">
        <v>11.55</v>
      </c>
      <c r="Q67" s="2" t="n">
        <v>65.26</v>
      </c>
    </row>
    <row r="68" customFormat="false" ht="15" hidden="false" customHeight="false" outlineLevel="0" collapsed="false">
      <c r="A68" s="2" t="s">
        <v>190</v>
      </c>
      <c r="B68" s="2" t="n">
        <v>2009</v>
      </c>
      <c r="C68" s="2" t="s">
        <v>136</v>
      </c>
      <c r="D68" s="2" t="s">
        <v>55</v>
      </c>
      <c r="E68" s="2" t="s">
        <v>252</v>
      </c>
      <c r="F68" s="2" t="n">
        <v>84</v>
      </c>
      <c r="G68" s="2" t="n">
        <v>0.37</v>
      </c>
      <c r="H68" s="2" t="n">
        <v>1.41</v>
      </c>
      <c r="I68" s="2" t="n">
        <v>0.71</v>
      </c>
      <c r="J68" s="2" t="n">
        <v>1.01</v>
      </c>
      <c r="K68" s="2" t="n">
        <v>9.94</v>
      </c>
      <c r="L68" s="2" t="n">
        <v>1.02</v>
      </c>
      <c r="M68" s="2" t="n">
        <v>0.6</v>
      </c>
      <c r="N68" s="2" t="n">
        <v>2.83</v>
      </c>
      <c r="O68" s="2" t="n">
        <v>4.21</v>
      </c>
      <c r="P68" s="2" t="n">
        <v>13.85</v>
      </c>
      <c r="Q68" s="2" t="n">
        <v>41.28</v>
      </c>
    </row>
    <row r="69" customFormat="false" ht="15" hidden="false" customHeight="false" outlineLevel="0" collapsed="false">
      <c r="A69" s="2" t="s">
        <v>192</v>
      </c>
      <c r="B69" s="2" t="n">
        <v>2009</v>
      </c>
      <c r="C69" s="2" t="s">
        <v>136</v>
      </c>
      <c r="D69" s="2" t="s">
        <v>55</v>
      </c>
      <c r="E69" s="2" t="s">
        <v>253</v>
      </c>
      <c r="F69" s="2" t="n">
        <v>85</v>
      </c>
      <c r="G69" s="2" t="n">
        <v>0.36</v>
      </c>
      <c r="H69" s="2" t="n">
        <v>1.41</v>
      </c>
      <c r="I69" s="2" t="n">
        <v>0.71</v>
      </c>
      <c r="J69" s="2" t="n">
        <v>1.02</v>
      </c>
      <c r="K69" s="2" t="n">
        <v>10.71</v>
      </c>
      <c r="L69" s="2" t="n">
        <v>0.99</v>
      </c>
      <c r="M69" s="2" t="n">
        <v>0.61</v>
      </c>
      <c r="N69" s="2" t="n">
        <v>2.98</v>
      </c>
      <c r="O69" s="2" t="n">
        <v>4.5</v>
      </c>
      <c r="P69" s="2" t="n">
        <v>13.02</v>
      </c>
      <c r="Q69" s="2" t="n">
        <v>30.22</v>
      </c>
    </row>
    <row r="70" customFormat="false" ht="15" hidden="false" customHeight="false" outlineLevel="0" collapsed="false">
      <c r="A70" s="2" t="s">
        <v>194</v>
      </c>
      <c r="B70" s="2" t="n">
        <v>2009</v>
      </c>
      <c r="C70" s="2" t="s">
        <v>136</v>
      </c>
      <c r="D70" s="2" t="s">
        <v>55</v>
      </c>
      <c r="E70" s="2" t="s">
        <v>254</v>
      </c>
      <c r="F70" s="2" t="n">
        <v>87</v>
      </c>
      <c r="G70" s="2" t="n">
        <v>0.37</v>
      </c>
      <c r="H70" s="2" t="n">
        <v>1.37</v>
      </c>
      <c r="I70" s="2" t="n">
        <v>0.71</v>
      </c>
      <c r="J70" s="2" t="n">
        <v>1.01</v>
      </c>
      <c r="K70" s="2" t="n">
        <v>11.96</v>
      </c>
      <c r="L70" s="2" t="n">
        <v>0.98</v>
      </c>
      <c r="M70" s="2" t="n">
        <v>0.6</v>
      </c>
      <c r="N70" s="2" t="n">
        <v>2.89</v>
      </c>
      <c r="O70" s="2" t="n">
        <v>4.6</v>
      </c>
      <c r="P70" s="2" t="n">
        <v>10.56</v>
      </c>
      <c r="Q70" s="2" t="n">
        <v>52.11</v>
      </c>
    </row>
    <row r="71" customFormat="false" ht="15" hidden="false" customHeight="false" outlineLevel="0" collapsed="false">
      <c r="A71" s="2" t="s">
        <v>196</v>
      </c>
      <c r="B71" s="2" t="n">
        <v>2009</v>
      </c>
      <c r="C71" s="2" t="s">
        <v>136</v>
      </c>
      <c r="D71" s="2" t="s">
        <v>55</v>
      </c>
      <c r="E71" s="2" t="s">
        <v>255</v>
      </c>
      <c r="F71" s="2" t="n">
        <v>88</v>
      </c>
      <c r="G71" s="2" t="n">
        <v>0.37</v>
      </c>
      <c r="H71" s="2" t="n">
        <v>1.41</v>
      </c>
      <c r="I71" s="2" t="n">
        <v>0.71</v>
      </c>
      <c r="J71" s="2" t="n">
        <v>1.03</v>
      </c>
      <c r="K71" s="2" t="n">
        <v>10.74</v>
      </c>
      <c r="L71" s="2" t="n">
        <v>0.99</v>
      </c>
      <c r="M71" s="2" t="n">
        <v>0.6</v>
      </c>
      <c r="N71" s="2" t="n">
        <v>2.89</v>
      </c>
      <c r="O71" s="2" t="n">
        <v>4.64</v>
      </c>
      <c r="P71" s="2" t="n">
        <v>11.41</v>
      </c>
      <c r="Q71" s="2" t="n">
        <v>95.84</v>
      </c>
    </row>
    <row r="72" customFormat="false" ht="15" hidden="false" customHeight="false" outlineLevel="0" collapsed="false">
      <c r="A72" s="2" t="s">
        <v>198</v>
      </c>
      <c r="B72" s="2" t="n">
        <v>2009</v>
      </c>
      <c r="C72" s="2" t="s">
        <v>136</v>
      </c>
      <c r="D72" s="2" t="s">
        <v>55</v>
      </c>
      <c r="E72" s="2" t="s">
        <v>256</v>
      </c>
      <c r="F72" s="2" t="n">
        <v>89</v>
      </c>
      <c r="G72" s="2" t="n">
        <v>0.37</v>
      </c>
      <c r="H72" s="2" t="n">
        <v>1.38</v>
      </c>
      <c r="I72" s="2" t="n">
        <v>0.72</v>
      </c>
      <c r="J72" s="2" t="n">
        <v>1.01</v>
      </c>
      <c r="K72" s="2" t="n">
        <v>11.05</v>
      </c>
      <c r="L72" s="2" t="n">
        <v>1.01</v>
      </c>
      <c r="M72" s="2" t="n">
        <v>0.61</v>
      </c>
      <c r="N72" s="2" t="n">
        <v>2.94</v>
      </c>
      <c r="O72" s="2" t="n">
        <v>4.32</v>
      </c>
      <c r="P72" s="2" t="n">
        <v>12.58</v>
      </c>
      <c r="Q72" s="2" t="n">
        <v>68.35</v>
      </c>
    </row>
    <row r="73" customFormat="false" ht="15" hidden="false" customHeight="false" outlineLevel="0" collapsed="false">
      <c r="A73" s="2" t="s">
        <v>200</v>
      </c>
      <c r="B73" s="2" t="n">
        <v>2009</v>
      </c>
      <c r="C73" s="2" t="s">
        <v>136</v>
      </c>
      <c r="D73" s="2" t="s">
        <v>55</v>
      </c>
      <c r="E73" s="2" t="s">
        <v>257</v>
      </c>
      <c r="F73" s="2" t="n">
        <v>91</v>
      </c>
      <c r="G73" s="2" t="n">
        <v>0.37</v>
      </c>
      <c r="H73" s="2" t="n">
        <v>1.42</v>
      </c>
      <c r="I73" s="2" t="n">
        <v>0.72</v>
      </c>
      <c r="J73" s="2" t="n">
        <v>1.02</v>
      </c>
      <c r="K73" s="2" t="n">
        <v>9.59</v>
      </c>
      <c r="L73" s="2" t="n">
        <v>0.99</v>
      </c>
      <c r="M73" s="2" t="n">
        <v>0.6</v>
      </c>
      <c r="N73" s="2" t="n">
        <v>2.82</v>
      </c>
      <c r="O73" s="2" t="n">
        <v>4.43</v>
      </c>
      <c r="P73" s="2" t="n">
        <v>11.81</v>
      </c>
      <c r="Q73" s="2" t="n">
        <v>46.18</v>
      </c>
    </row>
    <row r="74" customFormat="false" ht="15" hidden="false" customHeight="false" outlineLevel="0" collapsed="false">
      <c r="A74" s="2" t="s">
        <v>202</v>
      </c>
      <c r="B74" s="2" t="n">
        <v>2009</v>
      </c>
      <c r="C74" s="2" t="s">
        <v>136</v>
      </c>
      <c r="D74" s="2" t="s">
        <v>55</v>
      </c>
      <c r="E74" s="2" t="s">
        <v>258</v>
      </c>
      <c r="F74" s="2" t="n">
        <v>92</v>
      </c>
      <c r="G74" s="2" t="n">
        <v>0.37</v>
      </c>
      <c r="H74" s="2" t="n">
        <v>1.4</v>
      </c>
      <c r="I74" s="2" t="n">
        <v>0.71</v>
      </c>
      <c r="J74" s="2" t="n">
        <v>1.03</v>
      </c>
      <c r="K74" s="2" t="n">
        <v>11.36</v>
      </c>
      <c r="L74" s="2" t="n">
        <v>0.99</v>
      </c>
      <c r="M74" s="2" t="n">
        <v>0.61</v>
      </c>
      <c r="N74" s="2" t="n">
        <v>2.96</v>
      </c>
      <c r="O74" s="2" t="n">
        <v>4.4</v>
      </c>
      <c r="P74" s="2" t="n">
        <v>12.52</v>
      </c>
      <c r="Q74" s="2" t="n">
        <v>41.26</v>
      </c>
    </row>
    <row r="75" customFormat="false" ht="15" hidden="false" customHeight="false" outlineLevel="0" collapsed="false">
      <c r="A75" s="2" t="s">
        <v>204</v>
      </c>
      <c r="B75" s="2" t="n">
        <v>2009</v>
      </c>
      <c r="C75" s="2" t="s">
        <v>136</v>
      </c>
      <c r="D75" s="2" t="s">
        <v>55</v>
      </c>
      <c r="E75" s="2" t="s">
        <v>259</v>
      </c>
      <c r="F75" s="2" t="n">
        <v>93</v>
      </c>
      <c r="G75" s="2" t="n">
        <v>0.37</v>
      </c>
      <c r="H75" s="2" t="n">
        <v>1.37</v>
      </c>
      <c r="I75" s="2" t="n">
        <v>0.72</v>
      </c>
      <c r="J75" s="2" t="n">
        <v>1.01</v>
      </c>
      <c r="K75" s="2" t="n">
        <v>11</v>
      </c>
      <c r="L75" s="2" t="n">
        <v>1.01</v>
      </c>
      <c r="M75" s="2" t="n">
        <v>0.61</v>
      </c>
      <c r="N75" s="2" t="n">
        <v>2.9</v>
      </c>
      <c r="O75" s="2" t="n">
        <v>4.35</v>
      </c>
      <c r="P75" s="2" t="n">
        <v>13.05</v>
      </c>
      <c r="Q75" s="2" t="n">
        <v>39.64</v>
      </c>
    </row>
    <row r="76" customFormat="false" ht="15" hidden="false" customHeight="false" outlineLevel="0" collapsed="false">
      <c r="A76" s="2" t="s">
        <v>206</v>
      </c>
      <c r="B76" s="2" t="n">
        <v>2009</v>
      </c>
      <c r="C76" s="2" t="s">
        <v>136</v>
      </c>
      <c r="D76" s="2" t="s">
        <v>55</v>
      </c>
      <c r="E76" s="2" t="s">
        <v>260</v>
      </c>
      <c r="F76" s="2" t="n">
        <v>94</v>
      </c>
      <c r="G76" s="2" t="n">
        <v>0.37</v>
      </c>
      <c r="H76" s="2" t="n">
        <v>1.41</v>
      </c>
      <c r="I76" s="2" t="n">
        <v>0.71</v>
      </c>
      <c r="J76" s="2" t="n">
        <v>1.02</v>
      </c>
      <c r="K76" s="2" t="n">
        <v>12.68</v>
      </c>
      <c r="L76" s="2" t="n">
        <v>0.99</v>
      </c>
      <c r="M76" s="2" t="n">
        <v>0.6</v>
      </c>
      <c r="N76" s="2" t="n">
        <v>3.02</v>
      </c>
      <c r="O76" s="2" t="n">
        <v>4.24</v>
      </c>
      <c r="P76" s="2" t="n">
        <v>11.73</v>
      </c>
      <c r="Q76" s="2" t="n">
        <v>31.81</v>
      </c>
    </row>
    <row r="77" customFormat="false" ht="15" hidden="false" customHeight="false" outlineLevel="0" collapsed="false">
      <c r="A77" s="2" t="s">
        <v>208</v>
      </c>
      <c r="B77" s="2" t="n">
        <v>2009</v>
      </c>
      <c r="C77" s="2" t="s">
        <v>136</v>
      </c>
      <c r="D77" s="2" t="s">
        <v>55</v>
      </c>
      <c r="E77" s="2" t="s">
        <v>261</v>
      </c>
      <c r="F77" s="2" t="n">
        <v>95</v>
      </c>
      <c r="G77" s="2" t="n">
        <v>0.37</v>
      </c>
      <c r="H77" s="2" t="n">
        <v>1.41</v>
      </c>
      <c r="I77" s="2" t="n">
        <v>0.71</v>
      </c>
      <c r="J77" s="2" t="n">
        <v>1.04</v>
      </c>
      <c r="K77" s="2" t="n">
        <v>13.01</v>
      </c>
      <c r="L77" s="2" t="n">
        <v>1</v>
      </c>
      <c r="M77" s="2" t="n">
        <v>0.6</v>
      </c>
      <c r="N77" s="2" t="n">
        <v>3.06</v>
      </c>
      <c r="O77" s="2" t="n">
        <v>4.19</v>
      </c>
      <c r="P77" s="2" t="n">
        <v>10.93</v>
      </c>
      <c r="Q77" s="2" t="n">
        <v>18.26</v>
      </c>
    </row>
    <row r="79" customFormat="false" ht="15" hidden="false" customHeight="false" outlineLevel="0" collapsed="false">
      <c r="A79" s="4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17" min="6" style="0" width="8"/>
  </cols>
  <sheetData>
    <row r="1" customFormat="false" ht="15" hidden="false" customHeight="false" outlineLevel="0" collapsed="false">
      <c r="A1" s="5" t="s">
        <v>263</v>
      </c>
    </row>
    <row r="2" customFormat="false" ht="15" hidden="false" customHeight="false" outlineLevel="0" collapsed="false">
      <c r="A2" s="1" t="s">
        <v>3</v>
      </c>
      <c r="B2" s="1" t="s">
        <v>264</v>
      </c>
      <c r="C2" s="1" t="s">
        <v>210</v>
      </c>
      <c r="D2" s="1" t="s">
        <v>265</v>
      </c>
      <c r="E2" s="1" t="s">
        <v>5</v>
      </c>
      <c r="F2" s="1" t="s">
        <v>266</v>
      </c>
      <c r="G2" s="1" t="s">
        <v>267</v>
      </c>
      <c r="H2" s="1" t="s">
        <v>268</v>
      </c>
      <c r="I2" s="1" t="s">
        <v>269</v>
      </c>
      <c r="J2" s="1" t="s">
        <v>270</v>
      </c>
      <c r="K2" s="1" t="s">
        <v>271</v>
      </c>
      <c r="L2" s="1" t="s">
        <v>272</v>
      </c>
      <c r="M2" s="1" t="s">
        <v>273</v>
      </c>
      <c r="N2" s="1" t="s">
        <v>274</v>
      </c>
      <c r="O2" s="1" t="s">
        <v>275</v>
      </c>
      <c r="P2" s="1" t="s">
        <v>16</v>
      </c>
      <c r="Q2" s="1" t="s">
        <v>17</v>
      </c>
    </row>
    <row r="3" customFormat="false" ht="15" hidden="false" customHeight="false" outlineLevel="0" collapsed="false">
      <c r="A3" s="2" t="s">
        <v>55</v>
      </c>
      <c r="B3" s="2" t="s">
        <v>276</v>
      </c>
      <c r="C3" s="2" t="s">
        <v>277</v>
      </c>
      <c r="D3" s="2" t="n">
        <v>5</v>
      </c>
      <c r="E3" s="2" t="s">
        <v>278</v>
      </c>
      <c r="F3" s="6" t="n">
        <v>75.6867143279068</v>
      </c>
      <c r="G3" s="6" t="n">
        <v>0.0975</v>
      </c>
      <c r="H3" s="6" t="n">
        <v>12.208555683355</v>
      </c>
      <c r="I3" s="6" t="n">
        <v>1.63</v>
      </c>
      <c r="J3" s="6" t="n">
        <v>0.0658</v>
      </c>
      <c r="K3" s="6" t="n">
        <v>0.0056</v>
      </c>
      <c r="L3" s="6" t="n">
        <v>0.3944</v>
      </c>
      <c r="M3" s="6" t="n">
        <v>4.36</v>
      </c>
      <c r="N3" s="6" t="n">
        <v>4.63197406125307</v>
      </c>
      <c r="O3" s="6" t="n">
        <v>0</v>
      </c>
      <c r="P3" s="6" t="n">
        <v>0.1919</v>
      </c>
      <c r="Q3" s="6" t="n">
        <v>99.2724440725148</v>
      </c>
    </row>
    <row r="4" customFormat="false" ht="15" hidden="false" customHeight="false" outlineLevel="0" collapsed="false">
      <c r="A4" s="2" t="s">
        <v>55</v>
      </c>
      <c r="B4" s="2" t="s">
        <v>276</v>
      </c>
      <c r="C4" s="2" t="s">
        <v>279</v>
      </c>
      <c r="D4" s="2" t="n">
        <v>6</v>
      </c>
      <c r="E4" s="2" t="s">
        <v>280</v>
      </c>
      <c r="F4" s="6" t="n">
        <v>76.0186294870856</v>
      </c>
      <c r="G4" s="6" t="n">
        <v>0.0952</v>
      </c>
      <c r="H4" s="6" t="n">
        <v>12.2769783333017</v>
      </c>
      <c r="I4" s="6" t="n">
        <v>1.5</v>
      </c>
      <c r="J4" s="6" t="n">
        <v>0.0426</v>
      </c>
      <c r="K4" s="6" t="n">
        <v>0</v>
      </c>
      <c r="L4" s="6" t="n">
        <v>0.4769</v>
      </c>
      <c r="M4" s="6" t="n">
        <v>4.27</v>
      </c>
      <c r="N4" s="6" t="n">
        <v>4.53705655999789</v>
      </c>
      <c r="O4" s="6" t="n">
        <v>0</v>
      </c>
      <c r="P4" s="6" t="n">
        <v>0.1913</v>
      </c>
      <c r="Q4" s="6" t="n">
        <v>99.4086643803852</v>
      </c>
    </row>
    <row r="5" customFormat="false" ht="15" hidden="false" customHeight="false" outlineLevel="0" collapsed="false">
      <c r="A5" s="2" t="s">
        <v>55</v>
      </c>
      <c r="B5" s="2" t="s">
        <v>276</v>
      </c>
      <c r="C5" s="2" t="s">
        <v>281</v>
      </c>
      <c r="D5" s="2" t="n">
        <v>7</v>
      </c>
      <c r="E5" s="2" t="s">
        <v>282</v>
      </c>
      <c r="F5" s="6" t="n">
        <v>76.0186294870856</v>
      </c>
      <c r="G5" s="6" t="n">
        <v>0.0656</v>
      </c>
      <c r="H5" s="6" t="n">
        <v>12.5115702759763</v>
      </c>
      <c r="I5" s="6" t="n">
        <v>1.36</v>
      </c>
      <c r="J5" s="6" t="n">
        <v>0.0581</v>
      </c>
      <c r="K5" s="6" t="n">
        <v>0.0412</v>
      </c>
      <c r="L5" s="6" t="n">
        <v>0.4524</v>
      </c>
      <c r="M5" s="6" t="n">
        <v>4.31</v>
      </c>
      <c r="N5" s="6" t="n">
        <v>4.56553181037444</v>
      </c>
      <c r="O5" s="6" t="n">
        <v>0</v>
      </c>
      <c r="P5" s="6" t="n">
        <v>0.1767</v>
      </c>
      <c r="Q5" s="6" t="n">
        <v>99.5597315734363</v>
      </c>
    </row>
    <row r="6" customFormat="false" ht="15" hidden="false" customHeight="false" outlineLevel="0" collapsed="false">
      <c r="A6" s="2" t="s">
        <v>55</v>
      </c>
      <c r="B6" s="2" t="s">
        <v>276</v>
      </c>
      <c r="C6" s="2" t="s">
        <v>283</v>
      </c>
      <c r="D6" s="2" t="n">
        <v>8</v>
      </c>
      <c r="E6" s="2" t="s">
        <v>284</v>
      </c>
      <c r="F6" s="6" t="n">
        <v>76.1493839437319</v>
      </c>
      <c r="G6" s="6" t="n">
        <v>0.0906</v>
      </c>
      <c r="H6" s="6" t="n">
        <v>12.5213449402544</v>
      </c>
      <c r="I6" s="6" t="n">
        <v>1.35</v>
      </c>
      <c r="J6" s="6" t="n">
        <v>0.0186</v>
      </c>
      <c r="K6" s="6" t="n">
        <v>0</v>
      </c>
      <c r="L6" s="6" t="n">
        <v>0.4606</v>
      </c>
      <c r="M6" s="6" t="n">
        <v>4.4</v>
      </c>
      <c r="N6" s="6" t="n">
        <v>4.60349881087652</v>
      </c>
      <c r="O6" s="6" t="n">
        <v>0</v>
      </c>
      <c r="P6" s="6" t="n">
        <v>0.176</v>
      </c>
      <c r="Q6" s="6" t="n">
        <v>99.7700276948628</v>
      </c>
    </row>
    <row r="7" customFormat="false" ht="15" hidden="false" customHeight="false" outlineLevel="0" collapsed="false">
      <c r="A7" s="2" t="s">
        <v>55</v>
      </c>
      <c r="B7" s="2" t="s">
        <v>285</v>
      </c>
      <c r="C7" s="2" t="s">
        <v>286</v>
      </c>
      <c r="D7" s="2" t="n">
        <v>99</v>
      </c>
      <c r="E7" s="2" t="s">
        <v>287</v>
      </c>
      <c r="F7" s="6" t="n">
        <v>74.3892277965712</v>
      </c>
      <c r="G7" s="6" t="n">
        <v>0.1005</v>
      </c>
      <c r="H7" s="6" t="n">
        <v>12.9807541613254</v>
      </c>
      <c r="I7" s="6" t="n">
        <v>1.57</v>
      </c>
      <c r="J7" s="6" t="n">
        <v>0.0759</v>
      </c>
      <c r="K7" s="6" t="n">
        <v>0.0489</v>
      </c>
      <c r="L7" s="6" t="n">
        <v>0.7843</v>
      </c>
      <c r="M7" s="6" t="n">
        <v>4.06</v>
      </c>
      <c r="N7" s="6" t="n">
        <v>4.92621831514415</v>
      </c>
      <c r="O7" s="6" t="n">
        <v>0.019</v>
      </c>
      <c r="P7" s="6" t="n">
        <v>0.3122</v>
      </c>
      <c r="Q7" s="6" t="n">
        <v>99.2670002730408</v>
      </c>
    </row>
    <row r="8" customFormat="false" ht="15" hidden="false" customHeight="false" outlineLevel="0" collapsed="false">
      <c r="A8" s="2" t="s">
        <v>55</v>
      </c>
      <c r="B8" s="2" t="s">
        <v>285</v>
      </c>
      <c r="C8" s="2" t="s">
        <v>288</v>
      </c>
      <c r="D8" s="2" t="n">
        <v>100</v>
      </c>
      <c r="E8" s="2" t="s">
        <v>289</v>
      </c>
      <c r="F8" s="6" t="n">
        <v>74.8921295529028</v>
      </c>
      <c r="G8" s="6" t="n">
        <v>0.0961</v>
      </c>
      <c r="H8" s="6" t="n">
        <v>13.0785008041065</v>
      </c>
      <c r="I8" s="6" t="n">
        <v>1.58</v>
      </c>
      <c r="J8" s="6" t="n">
        <v>0.0273</v>
      </c>
      <c r="K8" s="6" t="n">
        <v>0</v>
      </c>
      <c r="L8" s="6" t="n">
        <v>0.76</v>
      </c>
      <c r="M8" s="6" t="n">
        <v>3.87</v>
      </c>
      <c r="N8" s="6" t="n">
        <v>5.04011931665037</v>
      </c>
      <c r="O8" s="6" t="n">
        <v>0</v>
      </c>
      <c r="P8" s="6" t="n">
        <v>0.3314</v>
      </c>
      <c r="Q8" s="6" t="n">
        <v>99.6755496736597</v>
      </c>
    </row>
    <row r="9" customFormat="false" ht="15" hidden="false" customHeight="false" outlineLevel="0" collapsed="false">
      <c r="A9" s="2" t="s">
        <v>55</v>
      </c>
      <c r="B9" s="2" t="s">
        <v>285</v>
      </c>
      <c r="C9" s="2" t="s">
        <v>290</v>
      </c>
      <c r="D9" s="2" t="n">
        <v>101</v>
      </c>
      <c r="E9" s="2" t="s">
        <v>291</v>
      </c>
      <c r="F9" s="6" t="n">
        <v>74.8820715177762</v>
      </c>
      <c r="G9" s="6" t="n">
        <v>0.0838</v>
      </c>
      <c r="H9" s="6" t="n">
        <v>13.0003034898816</v>
      </c>
      <c r="I9" s="6" t="n">
        <v>1.48</v>
      </c>
      <c r="J9" s="6" t="n">
        <v>0.0419</v>
      </c>
      <c r="K9" s="6" t="n">
        <v>0.1168</v>
      </c>
      <c r="L9" s="6" t="n">
        <v>0.7457</v>
      </c>
      <c r="M9" s="6" t="n">
        <v>4.14</v>
      </c>
      <c r="N9" s="6" t="n">
        <v>5.01164406627382</v>
      </c>
      <c r="O9" s="6" t="n">
        <v>0</v>
      </c>
      <c r="P9" s="6" t="n">
        <v>0.3099</v>
      </c>
      <c r="Q9" s="6" t="n">
        <v>99.8121190739316</v>
      </c>
    </row>
    <row r="10" customFormat="false" ht="15" hidden="false" customHeight="false" outlineLevel="0" collapsed="false">
      <c r="A10" s="2" t="s">
        <v>55</v>
      </c>
      <c r="B10" s="2" t="s">
        <v>292</v>
      </c>
      <c r="C10" s="2" t="s">
        <v>293</v>
      </c>
      <c r="D10" s="2" t="n">
        <v>13</v>
      </c>
      <c r="E10" s="2" t="s">
        <v>294</v>
      </c>
      <c r="F10" s="6" t="n">
        <v>74.8217233070164</v>
      </c>
      <c r="G10" s="6" t="n">
        <v>0.0639</v>
      </c>
      <c r="H10" s="6" t="n">
        <v>13.1469234540532</v>
      </c>
      <c r="I10" s="6" t="n">
        <v>1.51</v>
      </c>
      <c r="J10" s="6" t="n">
        <v>0.0474</v>
      </c>
      <c r="K10" s="6" t="n">
        <v>0.0396</v>
      </c>
      <c r="L10" s="6" t="n">
        <v>0.7437</v>
      </c>
      <c r="M10" s="6" t="n">
        <v>4.15</v>
      </c>
      <c r="N10" s="6" t="n">
        <v>4.99266056602278</v>
      </c>
      <c r="O10" s="6" t="n">
        <v>0.0189</v>
      </c>
      <c r="P10" s="6" t="n">
        <v>0.2975</v>
      </c>
      <c r="Q10" s="6" t="n">
        <v>99.8323073270924</v>
      </c>
    </row>
    <row r="11" customFormat="false" ht="15" hidden="false" customHeight="false" outlineLevel="0" collapsed="false">
      <c r="A11" s="2" t="s">
        <v>55</v>
      </c>
      <c r="B11" s="2" t="s">
        <v>292</v>
      </c>
      <c r="C11" s="2" t="s">
        <v>295</v>
      </c>
      <c r="D11" s="2" t="n">
        <v>14</v>
      </c>
      <c r="E11" s="2" t="s">
        <v>296</v>
      </c>
      <c r="F11" s="6" t="n">
        <v>74.7010268854968</v>
      </c>
      <c r="G11" s="6" t="n">
        <v>0.1151</v>
      </c>
      <c r="H11" s="6" t="n">
        <v>13.0980501326627</v>
      </c>
      <c r="I11" s="6" t="n">
        <v>1.55</v>
      </c>
      <c r="J11" s="6" t="n">
        <v>0.0803</v>
      </c>
      <c r="K11" s="6" t="n">
        <v>0</v>
      </c>
      <c r="L11" s="6" t="n">
        <v>0.7509</v>
      </c>
      <c r="M11" s="6" t="n">
        <v>4.09</v>
      </c>
      <c r="N11" s="6" t="n">
        <v>5.03062756652485</v>
      </c>
      <c r="O11" s="6" t="n">
        <v>0.0359</v>
      </c>
      <c r="P11" s="6" t="n">
        <v>0.3152</v>
      </c>
      <c r="Q11" s="6" t="n">
        <v>99.7671045846844</v>
      </c>
    </row>
    <row r="12" customFormat="false" ht="15" hidden="false" customHeight="false" outlineLevel="0" collapsed="false">
      <c r="A12" s="2" t="s">
        <v>55</v>
      </c>
      <c r="B12" s="2" t="s">
        <v>292</v>
      </c>
      <c r="C12" s="2" t="s">
        <v>297</v>
      </c>
      <c r="D12" s="2" t="n">
        <v>15</v>
      </c>
      <c r="E12" s="2" t="s">
        <v>298</v>
      </c>
      <c r="F12" s="6" t="n">
        <v>74.2081831642919</v>
      </c>
      <c r="G12" s="6" t="n">
        <v>0.063</v>
      </c>
      <c r="H12" s="6" t="n">
        <v>13.1469234540532</v>
      </c>
      <c r="I12" s="6" t="n">
        <v>1.56</v>
      </c>
      <c r="J12" s="6" t="n">
        <v>0.0582</v>
      </c>
      <c r="K12" s="6" t="n">
        <v>0.0583</v>
      </c>
      <c r="L12" s="6" t="n">
        <v>0.7776</v>
      </c>
      <c r="M12" s="6" t="n">
        <v>4.02</v>
      </c>
      <c r="N12" s="6" t="n">
        <v>5.05910281690141</v>
      </c>
      <c r="O12" s="6" t="n">
        <v>0.0124</v>
      </c>
      <c r="P12" s="6" t="n">
        <v>0.3185</v>
      </c>
      <c r="Q12" s="6" t="n">
        <v>99.2822094352465</v>
      </c>
    </row>
    <row r="13" customFormat="false" ht="15" hidden="false" customHeight="false" outlineLevel="0" collapsed="false">
      <c r="A13" s="2" t="s">
        <v>55</v>
      </c>
      <c r="B13" s="2" t="s">
        <v>292</v>
      </c>
      <c r="C13" s="2" t="s">
        <v>299</v>
      </c>
      <c r="D13" s="2" t="n">
        <v>16</v>
      </c>
      <c r="E13" s="2" t="s">
        <v>300</v>
      </c>
      <c r="F13" s="6" t="n">
        <v>74.3892277965712</v>
      </c>
      <c r="G13" s="6" t="n">
        <v>0.0221</v>
      </c>
      <c r="H13" s="6" t="n">
        <v>13.0882754683846</v>
      </c>
      <c r="I13" s="6" t="n">
        <v>1.53</v>
      </c>
      <c r="J13" s="6" t="n">
        <v>0.0905</v>
      </c>
      <c r="K13" s="6" t="n">
        <v>0.0287</v>
      </c>
      <c r="L13" s="6" t="n">
        <v>0.7235</v>
      </c>
      <c r="M13" s="6" t="n">
        <v>4.08</v>
      </c>
      <c r="N13" s="6" t="n">
        <v>4.98316881589726</v>
      </c>
      <c r="O13" s="6" t="n">
        <v>0.0044</v>
      </c>
      <c r="P13" s="6" t="n">
        <v>0.3543</v>
      </c>
      <c r="Q13" s="6" t="n">
        <v>99.294172080853</v>
      </c>
    </row>
    <row r="14" customFormat="false" ht="15" hidden="false" customHeight="false" outlineLevel="0" collapsed="false">
      <c r="A14" s="2" t="s">
        <v>55</v>
      </c>
      <c r="B14" s="2" t="s">
        <v>301</v>
      </c>
      <c r="C14" s="2" t="s">
        <v>302</v>
      </c>
      <c r="D14" s="2" t="n">
        <v>9</v>
      </c>
      <c r="E14" s="2" t="s">
        <v>303</v>
      </c>
      <c r="F14" s="6" t="n">
        <v>76.390776786771</v>
      </c>
      <c r="G14" s="6" t="n">
        <v>0.0858</v>
      </c>
      <c r="H14" s="6" t="n">
        <v>12.394274304639</v>
      </c>
      <c r="I14" s="6" t="n">
        <v>0.7279</v>
      </c>
      <c r="J14" s="6" t="n">
        <v>0.0516</v>
      </c>
      <c r="K14" s="6" t="n">
        <v>0.0128</v>
      </c>
      <c r="L14" s="6" t="n">
        <v>0.3193</v>
      </c>
      <c r="M14" s="6" t="n">
        <v>4.27</v>
      </c>
      <c r="N14" s="6" t="n">
        <v>4.57502356049996</v>
      </c>
      <c r="O14" s="6" t="n">
        <v>0.0009</v>
      </c>
      <c r="P14" s="6" t="n">
        <v>0.1167</v>
      </c>
      <c r="Q14" s="6" t="n">
        <v>98.94507465191</v>
      </c>
    </row>
    <row r="15" customFormat="false" ht="15" hidden="false" customHeight="false" outlineLevel="0" collapsed="false">
      <c r="A15" s="2" t="s">
        <v>55</v>
      </c>
      <c r="B15" s="2" t="s">
        <v>301</v>
      </c>
      <c r="C15" s="2" t="s">
        <v>304</v>
      </c>
      <c r="D15" s="2" t="n">
        <v>10</v>
      </c>
      <c r="E15" s="2" t="s">
        <v>305</v>
      </c>
      <c r="F15" s="6" t="n">
        <v>76.2801384003781</v>
      </c>
      <c r="G15" s="6" t="n">
        <v>0.0887</v>
      </c>
      <c r="H15" s="6" t="n">
        <v>12.3551756475266</v>
      </c>
      <c r="I15" s="6" t="n">
        <v>0.7285</v>
      </c>
      <c r="J15" s="6" t="n">
        <v>0.1014</v>
      </c>
      <c r="K15" s="6" t="n">
        <v>0.01</v>
      </c>
      <c r="L15" s="6" t="n">
        <v>0.3057</v>
      </c>
      <c r="M15" s="6" t="n">
        <v>4.12</v>
      </c>
      <c r="N15" s="6" t="n">
        <v>4.51807305974685</v>
      </c>
      <c r="O15" s="6" t="n">
        <v>0.0402</v>
      </c>
      <c r="P15" s="6" t="n">
        <v>0.1366</v>
      </c>
      <c r="Q15" s="6" t="n">
        <v>98.6844871076515</v>
      </c>
    </row>
    <row r="16" customFormat="false" ht="15" hidden="false" customHeight="false" outlineLevel="0" collapsed="false">
      <c r="A16" s="2" t="s">
        <v>55</v>
      </c>
      <c r="B16" s="2" t="s">
        <v>301</v>
      </c>
      <c r="C16" s="2" t="s">
        <v>306</v>
      </c>
      <c r="D16" s="2" t="n">
        <v>11</v>
      </c>
      <c r="E16" s="2" t="s">
        <v>307</v>
      </c>
      <c r="F16" s="6" t="n">
        <v>76.7930981918363</v>
      </c>
      <c r="G16" s="6" t="n">
        <v>0.0635</v>
      </c>
      <c r="H16" s="6" t="n">
        <v>12.4431476260295</v>
      </c>
      <c r="I16" s="6" t="n">
        <v>0.7957</v>
      </c>
      <c r="J16" s="6" t="n">
        <v>0.0704</v>
      </c>
      <c r="K16" s="6" t="n">
        <v>0.0014</v>
      </c>
      <c r="L16" s="6" t="n">
        <v>0.3438</v>
      </c>
      <c r="M16" s="6" t="n">
        <v>4.3</v>
      </c>
      <c r="N16" s="6" t="n">
        <v>4.51807305974685</v>
      </c>
      <c r="O16" s="6" t="n">
        <v>0.0023</v>
      </c>
      <c r="P16" s="6" t="n">
        <v>0.1251</v>
      </c>
      <c r="Q16" s="6" t="n">
        <v>99.4565188776127</v>
      </c>
    </row>
    <row r="17" customFormat="false" ht="15" hidden="false" customHeight="false" outlineLevel="0" collapsed="false">
      <c r="A17" s="2" t="s">
        <v>55</v>
      </c>
      <c r="B17" s="2" t="s">
        <v>301</v>
      </c>
      <c r="C17" s="2" t="s">
        <v>308</v>
      </c>
      <c r="D17" s="2" t="n">
        <v>12</v>
      </c>
      <c r="E17" s="2" t="s">
        <v>309</v>
      </c>
      <c r="F17" s="6" t="n">
        <v>76.7528660513298</v>
      </c>
      <c r="G17" s="6" t="n">
        <v>0.0642</v>
      </c>
      <c r="H17" s="6" t="n">
        <v>12.4431476260295</v>
      </c>
      <c r="I17" s="6" t="n">
        <v>0.9517</v>
      </c>
      <c r="J17" s="6" t="n">
        <v>0.0384</v>
      </c>
      <c r="K17" s="6" t="n">
        <v>0</v>
      </c>
      <c r="L17" s="6" t="n">
        <v>0.3757</v>
      </c>
      <c r="M17" s="6" t="n">
        <v>4.24</v>
      </c>
      <c r="N17" s="6" t="n">
        <v>4.60349881087652</v>
      </c>
      <c r="O17" s="6" t="n">
        <v>0.0146</v>
      </c>
      <c r="P17" s="6" t="n">
        <v>0.1231</v>
      </c>
      <c r="Q17" s="6" t="n">
        <v>99.6072124882358</v>
      </c>
    </row>
    <row r="18" customFormat="false" ht="15" hidden="false" customHeight="false" outlineLevel="0" collapsed="false">
      <c r="A18" s="2" t="s">
        <v>55</v>
      </c>
      <c r="B18" s="2" t="s">
        <v>310</v>
      </c>
      <c r="C18" s="2" t="s">
        <v>311</v>
      </c>
      <c r="D18" s="2" t="n">
        <v>1</v>
      </c>
      <c r="E18" s="2" t="s">
        <v>312</v>
      </c>
      <c r="F18" s="6" t="n">
        <v>77.567566896587</v>
      </c>
      <c r="G18" s="6" t="n">
        <v>0.0529</v>
      </c>
      <c r="H18" s="6" t="n">
        <v>12.1108090405739</v>
      </c>
      <c r="I18" s="6" t="n">
        <v>1.0744</v>
      </c>
      <c r="J18" s="6" t="n">
        <v>0.0231</v>
      </c>
      <c r="K18" s="6" t="n">
        <v>0.0147</v>
      </c>
      <c r="L18" s="6" t="n">
        <v>0.4507</v>
      </c>
      <c r="M18" s="6" t="n">
        <v>3.9</v>
      </c>
      <c r="N18" s="6" t="n">
        <v>4.99266056602278</v>
      </c>
      <c r="O18" s="6" t="n">
        <v>0</v>
      </c>
      <c r="P18" s="6" t="n">
        <v>0.104</v>
      </c>
      <c r="Q18" s="6" t="n">
        <v>100.290836503184</v>
      </c>
    </row>
    <row r="19" customFormat="false" ht="15" hidden="false" customHeight="false" outlineLevel="0" collapsed="false">
      <c r="A19" s="2" t="s">
        <v>55</v>
      </c>
      <c r="B19" s="2" t="s">
        <v>310</v>
      </c>
      <c r="C19" s="2" t="s">
        <v>313</v>
      </c>
      <c r="D19" s="2" t="n">
        <v>2</v>
      </c>
      <c r="E19" s="2" t="s">
        <v>314</v>
      </c>
      <c r="F19" s="6" t="n">
        <v>76.8936785431026</v>
      </c>
      <c r="G19" s="6" t="n">
        <v>0.0356</v>
      </c>
      <c r="H19" s="6" t="n">
        <v>12.1010343762958</v>
      </c>
      <c r="I19" s="6" t="n">
        <v>1.1365</v>
      </c>
      <c r="J19" s="6" t="n">
        <v>0.0276</v>
      </c>
      <c r="K19" s="6" t="n">
        <v>0.0537</v>
      </c>
      <c r="L19" s="6" t="n">
        <v>0.4492</v>
      </c>
      <c r="M19" s="6" t="n">
        <v>3.83</v>
      </c>
      <c r="N19" s="6" t="n">
        <v>4.83130081388896</v>
      </c>
      <c r="O19" s="6" t="n">
        <v>0.014</v>
      </c>
      <c r="P19" s="6" t="n">
        <v>0.1263</v>
      </c>
      <c r="Q19" s="6" t="n">
        <v>99.4989137332874</v>
      </c>
    </row>
    <row r="20" customFormat="false" ht="15" hidden="false" customHeight="false" outlineLevel="0" collapsed="false">
      <c r="A20" s="2" t="s">
        <v>55</v>
      </c>
      <c r="B20" s="2" t="s">
        <v>310</v>
      </c>
      <c r="C20" s="2" t="s">
        <v>315</v>
      </c>
      <c r="D20" s="2" t="n">
        <v>3</v>
      </c>
      <c r="E20" s="2" t="s">
        <v>316</v>
      </c>
      <c r="F20" s="6" t="n">
        <v>76.1091518032253</v>
      </c>
      <c r="G20" s="6" t="n">
        <v>0.0949</v>
      </c>
      <c r="H20" s="6" t="n">
        <v>12.0130623977928</v>
      </c>
      <c r="I20" s="6" t="n">
        <v>1.1113</v>
      </c>
      <c r="J20" s="6" t="n">
        <v>0.0249</v>
      </c>
      <c r="K20" s="6" t="n">
        <v>0.0334</v>
      </c>
      <c r="L20" s="6" t="n">
        <v>0.4445</v>
      </c>
      <c r="M20" s="6" t="n">
        <v>3.87</v>
      </c>
      <c r="N20" s="6" t="n">
        <v>4.76485856301033</v>
      </c>
      <c r="O20" s="6" t="n">
        <v>0</v>
      </c>
      <c r="P20" s="6" t="n">
        <v>0.1008</v>
      </c>
      <c r="Q20" s="6" t="n">
        <v>98.5668727640285</v>
      </c>
    </row>
    <row r="21" customFormat="false" ht="15" hidden="false" customHeight="false" outlineLevel="0" collapsed="false">
      <c r="A21" s="2" t="s">
        <v>55</v>
      </c>
      <c r="B21" s="2" t="s">
        <v>310</v>
      </c>
      <c r="C21" s="2" t="s">
        <v>317</v>
      </c>
      <c r="D21" s="2" t="n">
        <v>4</v>
      </c>
      <c r="E21" s="2" t="s">
        <v>318</v>
      </c>
      <c r="F21" s="6" t="n">
        <v>76.6321696298102</v>
      </c>
      <c r="G21" s="6" t="n">
        <v>0.0689</v>
      </c>
      <c r="H21" s="6" t="n">
        <v>11.9153157550118</v>
      </c>
      <c r="I21" s="6" t="n">
        <v>1.0022</v>
      </c>
      <c r="J21" s="6" t="n">
        <v>0.0297</v>
      </c>
      <c r="K21" s="6" t="n">
        <v>0.0079</v>
      </c>
      <c r="L21" s="6" t="n">
        <v>0.4291</v>
      </c>
      <c r="M21" s="6" t="n">
        <v>3.97</v>
      </c>
      <c r="N21" s="6" t="n">
        <v>4.86926781439104</v>
      </c>
      <c r="O21" s="6" t="n">
        <v>0.0075</v>
      </c>
      <c r="P21" s="6" t="n">
        <v>0.0829</v>
      </c>
      <c r="Q21" s="6" t="n">
        <v>99.014953199213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customFormat="false" ht="15" hidden="false" customHeight="false" outlineLevel="0" collapsed="false">
      <c r="A23" s="2" t="s">
        <v>319</v>
      </c>
      <c r="B23" s="2"/>
      <c r="C23" s="2"/>
      <c r="D23" s="2"/>
      <c r="E23" s="2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customFormat="false" ht="15" hidden="false" customHeight="false" outlineLevel="0" collapsed="false">
      <c r="A24" s="7" t="s">
        <v>3</v>
      </c>
      <c r="B24" s="7" t="s">
        <v>264</v>
      </c>
      <c r="C24" s="7" t="s">
        <v>320</v>
      </c>
      <c r="D24" s="7" t="s">
        <v>321</v>
      </c>
      <c r="E24" s="2"/>
      <c r="F24" s="8" t="s">
        <v>266</v>
      </c>
      <c r="G24" s="8" t="s">
        <v>267</v>
      </c>
      <c r="H24" s="8" t="s">
        <v>268</v>
      </c>
      <c r="I24" s="8" t="s">
        <v>269</v>
      </c>
      <c r="J24" s="8" t="s">
        <v>270</v>
      </c>
      <c r="K24" s="8" t="s">
        <v>271</v>
      </c>
      <c r="L24" s="8" t="s">
        <v>272</v>
      </c>
      <c r="M24" s="8" t="s">
        <v>273</v>
      </c>
      <c r="N24" s="8" t="s">
        <v>274</v>
      </c>
      <c r="O24" s="8" t="s">
        <v>275</v>
      </c>
      <c r="P24" s="8" t="s">
        <v>16</v>
      </c>
      <c r="Q24" s="8" t="s">
        <v>17</v>
      </c>
    </row>
    <row r="25" customFormat="false" ht="15" hidden="false" customHeight="false" outlineLevel="0" collapsed="false">
      <c r="A25" s="2" t="s">
        <v>55</v>
      </c>
      <c r="B25" s="2" t="s">
        <v>276</v>
      </c>
      <c r="C25" s="2" t="s">
        <v>322</v>
      </c>
      <c r="D25" s="2" t="n">
        <v>4</v>
      </c>
      <c r="E25" s="2"/>
      <c r="F25" s="6" t="n">
        <f aca="false">IFERROR(AVERAGE(F3:F6),"")</f>
        <v>75.9683393114525</v>
      </c>
      <c r="G25" s="6" t="n">
        <f aca="false">IFERROR(AVERAGE(G3:G6),"")</f>
        <v>0.087225</v>
      </c>
      <c r="H25" s="6" t="n">
        <f aca="false">IFERROR(AVERAGE(H3:H6),"")</f>
        <v>12.3796123082218</v>
      </c>
      <c r="I25" s="6" t="n">
        <f aca="false">IFERROR(AVERAGE(I3:I6),"")</f>
        <v>1.46</v>
      </c>
      <c r="J25" s="6" t="n">
        <f aca="false">IFERROR(AVERAGE(J3:J6),"")</f>
        <v>0.046275</v>
      </c>
      <c r="K25" s="6" t="n">
        <f aca="false">IFERROR(AVERAGE(K3:K6),"")</f>
        <v>0.0117</v>
      </c>
      <c r="L25" s="6" t="n">
        <f aca="false">IFERROR(AVERAGE(L3:L6),"")</f>
        <v>0.446075</v>
      </c>
      <c r="M25" s="6" t="n">
        <f aca="false">IFERROR(AVERAGE(M3:M6),"")</f>
        <v>4.335</v>
      </c>
      <c r="N25" s="6" t="n">
        <f aca="false">IFERROR(AVERAGE(N3:N6),"")</f>
        <v>4.58451531062548</v>
      </c>
      <c r="O25" s="6" t="n">
        <f aca="false">IFERROR(AVERAGE(O3:O6),"")</f>
        <v>0</v>
      </c>
      <c r="P25" s="6" t="n">
        <f aca="false">IFERROR(AVERAGE(P3:P6),"")</f>
        <v>0.183975</v>
      </c>
      <c r="Q25" s="6" t="n">
        <f aca="false">IFERROR(AVERAGE(Q3:Q6),"")</f>
        <v>99.5027169302998</v>
      </c>
    </row>
    <row r="26" customFormat="false" ht="15" hidden="false" customHeight="false" outlineLevel="0" collapsed="false">
      <c r="A26" s="2" t="s">
        <v>55</v>
      </c>
      <c r="B26" s="2" t="s">
        <v>276</v>
      </c>
      <c r="C26" s="2" t="s">
        <v>323</v>
      </c>
      <c r="D26" s="2" t="n">
        <v>4</v>
      </c>
      <c r="E26" s="2"/>
      <c r="F26" s="6" t="n">
        <f aca="false">IFERROR(STDEV(F3:F6),"")</f>
        <v>0.197609036369554</v>
      </c>
      <c r="G26" s="6" t="n">
        <f aca="false">IFERROR(STDEV(G3:G6),"")</f>
        <v>0.0146992913661396</v>
      </c>
      <c r="H26" s="6" t="n">
        <f aca="false">IFERROR(STDEV(H3:H6),"")</f>
        <v>0.160514948375016</v>
      </c>
      <c r="I26" s="6" t="n">
        <f aca="false">IFERROR(STDEV(I3:I6),"")</f>
        <v>0.132413493773608</v>
      </c>
      <c r="J26" s="6" t="n">
        <f aca="false">IFERROR(STDEV(J3:J6),"")</f>
        <v>0.0208204026538073</v>
      </c>
      <c r="K26" s="6" t="n">
        <f aca="false">IFERROR(STDEV(K3:K6),"")</f>
        <v>0.0198430508407016</v>
      </c>
      <c r="L26" s="6" t="n">
        <f aca="false">IFERROR(STDEV(L3:L6),"")</f>
        <v>0.0359233791098035</v>
      </c>
      <c r="M26" s="6" t="n">
        <f aca="false">IFERROR(STDEV(M3:M6),"")</f>
        <v>0.0568624070307737</v>
      </c>
      <c r="N26" s="6" t="n">
        <f aca="false">IFERROR(STDEV(N3:N6),"")</f>
        <v>0.0417349277617138</v>
      </c>
      <c r="O26" s="6" t="n">
        <f aca="false">IFERROR(STDEV(O3:O6),"")</f>
        <v>0</v>
      </c>
      <c r="P26" s="6" t="n">
        <f aca="false">IFERROR(STDEV(P3:P6),"")</f>
        <v>0.00881263297772011</v>
      </c>
      <c r="Q26" s="6" t="n">
        <f aca="false">IFERROR(STDEV(Q3:Q6),"")</f>
        <v>0.213367590135821</v>
      </c>
    </row>
    <row r="27" customFormat="false" ht="15" hidden="false" customHeight="false" outlineLevel="0" collapsed="false">
      <c r="A27" s="2" t="s">
        <v>55</v>
      </c>
      <c r="B27" s="2" t="s">
        <v>276</v>
      </c>
      <c r="C27" s="2" t="s">
        <v>324</v>
      </c>
      <c r="D27" s="2" t="n">
        <v>4</v>
      </c>
      <c r="E27" s="2"/>
      <c r="F27" s="6" t="n">
        <f aca="false">IFERROR(F26/F25*100,"")</f>
        <v>0.260120252937745</v>
      </c>
      <c r="G27" s="6" t="n">
        <f aca="false">IFERROR(G26/G25*100,"")</f>
        <v>16.8521540454452</v>
      </c>
      <c r="H27" s="6" t="n">
        <f aca="false">IFERROR(H26/H25*100,"")</f>
        <v>1.29660723113607</v>
      </c>
      <c r="I27" s="6" t="n">
        <f aca="false">IFERROR(I26/I25*100,"")</f>
        <v>9.06941738175397</v>
      </c>
      <c r="J27" s="6" t="n">
        <f aca="false">IFERROR(J26/J25*100,"")</f>
        <v>44.99276640477</v>
      </c>
      <c r="K27" s="6" t="n">
        <f aca="false">IFERROR(K26/K25*100,"")</f>
        <v>169.598725134201</v>
      </c>
      <c r="L27" s="6" t="n">
        <f aca="false">IFERROR(L26/L25*100,"")</f>
        <v>8.05321506692899</v>
      </c>
      <c r="M27" s="6" t="n">
        <f aca="false">IFERROR(M26/M25*100,"")</f>
        <v>1.31170489113665</v>
      </c>
      <c r="N27" s="6" t="n">
        <f aca="false">IFERROR(N26/N25*100,"")</f>
        <v>0.910345476761419</v>
      </c>
      <c r="O27" s="6" t="str">
        <f aca="false">IFERROR(O26/O25*100,"")</f>
        <v/>
      </c>
      <c r="P27" s="6" t="n">
        <f aca="false">IFERROR(P26/P25*100,"")</f>
        <v>4.79012527665178</v>
      </c>
      <c r="Q27" s="6" t="n">
        <f aca="false">IFERROR(Q26/Q25*100,"")</f>
        <v>0.214433933784222</v>
      </c>
    </row>
    <row r="28" customFormat="false" ht="15" hidden="false" customHeight="false" outlineLevel="0" collapsed="false">
      <c r="A28" s="2" t="s">
        <v>55</v>
      </c>
      <c r="B28" s="2" t="s">
        <v>285</v>
      </c>
      <c r="C28" s="2" t="s">
        <v>322</v>
      </c>
      <c r="D28" s="2" t="n">
        <v>3</v>
      </c>
      <c r="E28" s="2"/>
      <c r="F28" s="6" t="n">
        <f aca="false">IFERROR(AVERAGE(F7:F9),"")</f>
        <v>74.7211429557501</v>
      </c>
      <c r="G28" s="6" t="n">
        <f aca="false">IFERROR(AVERAGE(G7:G9),"")</f>
        <v>0.0934666666666667</v>
      </c>
      <c r="H28" s="6" t="n">
        <f aca="false">IFERROR(AVERAGE(H7:H9),"")</f>
        <v>13.0198528184378</v>
      </c>
      <c r="I28" s="6" t="n">
        <f aca="false">IFERROR(AVERAGE(I7:I9),"")</f>
        <v>1.54333333333333</v>
      </c>
      <c r="J28" s="6" t="n">
        <f aca="false">IFERROR(AVERAGE(J7:J9),"")</f>
        <v>0.0483666666666667</v>
      </c>
      <c r="K28" s="6" t="n">
        <f aca="false">IFERROR(AVERAGE(K7:K9),"")</f>
        <v>0.0552333333333333</v>
      </c>
      <c r="L28" s="6" t="n">
        <f aca="false">IFERROR(AVERAGE(L7:L9),"")</f>
        <v>0.763333333333333</v>
      </c>
      <c r="M28" s="6" t="n">
        <f aca="false">IFERROR(AVERAGE(M7:M9),"")</f>
        <v>4.02333333333333</v>
      </c>
      <c r="N28" s="6" t="n">
        <f aca="false">IFERROR(AVERAGE(N7:N9),"")</f>
        <v>4.99266056602278</v>
      </c>
      <c r="O28" s="6" t="n">
        <f aca="false">IFERROR(AVERAGE(O7:O9),"")</f>
        <v>0.00633333333333333</v>
      </c>
      <c r="P28" s="6" t="n">
        <f aca="false">IFERROR(AVERAGE(P7:P9),"")</f>
        <v>0.317833333333333</v>
      </c>
      <c r="Q28" s="6" t="n">
        <f aca="false">IFERROR(AVERAGE(Q7:Q9),"")</f>
        <v>99.584889673544</v>
      </c>
    </row>
    <row r="29" customFormat="false" ht="15" hidden="false" customHeight="false" outlineLevel="0" collapsed="false">
      <c r="A29" s="2" t="s">
        <v>55</v>
      </c>
      <c r="B29" s="2" t="s">
        <v>285</v>
      </c>
      <c r="C29" s="2" t="s">
        <v>323</v>
      </c>
      <c r="D29" s="2" t="n">
        <v>3</v>
      </c>
      <c r="E29" s="2"/>
      <c r="F29" s="6" t="n">
        <f aca="false">IFERROR(STDEV(F7:F9),"")</f>
        <v>0.287490948878738</v>
      </c>
      <c r="G29" s="6" t="n">
        <f aca="false">IFERROR(STDEV(G7:G9),"")</f>
        <v>0.00865582655402322</v>
      </c>
      <c r="H29" s="6" t="n">
        <f aca="false">IFERROR(STDEV(H7:H9),"")</f>
        <v>0.0517226616580365</v>
      </c>
      <c r="I29" s="6" t="n">
        <f aca="false">IFERROR(STDEV(I7:I9),"")</f>
        <v>0.0550757054728611</v>
      </c>
      <c r="J29" s="6" t="n">
        <f aca="false">IFERROR(STDEV(J7:J9),"")</f>
        <v>0.0249369872545449</v>
      </c>
      <c r="K29" s="6" t="n">
        <f aca="false">IFERROR(STDEV(K7:K9),"")</f>
        <v>0.0586569973092157</v>
      </c>
      <c r="L29" s="6" t="n">
        <f aca="false">IFERROR(STDEV(L7:L9),"")</f>
        <v>0.019514695317461</v>
      </c>
      <c r="M29" s="6" t="n">
        <f aca="false">IFERROR(STDEV(M7:M9),"")</f>
        <v>0.138684293751431</v>
      </c>
      <c r="N29" s="6" t="n">
        <f aca="false">IFERROR(STDEV(N7:N9),"")</f>
        <v>0.0592759605351604</v>
      </c>
      <c r="O29" s="6" t="n">
        <f aca="false">IFERROR(STDEV(O7:O9),"")</f>
        <v>0.0109696551146029</v>
      </c>
      <c r="P29" s="6" t="n">
        <f aca="false">IFERROR(STDEV(P7:P9),"")</f>
        <v>0.0118052248319688</v>
      </c>
      <c r="Q29" s="6" t="n">
        <f aca="false">IFERROR(STDEV(Q7:Q9),"")</f>
        <v>0.283642474758086</v>
      </c>
    </row>
    <row r="30" customFormat="false" ht="15" hidden="false" customHeight="false" outlineLevel="0" collapsed="false">
      <c r="A30" s="2" t="s">
        <v>55</v>
      </c>
      <c r="B30" s="2" t="s">
        <v>285</v>
      </c>
      <c r="C30" s="2" t="s">
        <v>324</v>
      </c>
      <c r="D30" s="2" t="n">
        <v>3</v>
      </c>
      <c r="E30" s="2"/>
      <c r="F30" s="6" t="n">
        <f aca="false">IFERROR(F29/F28*100,"")</f>
        <v>0.384751808532948</v>
      </c>
      <c r="G30" s="6" t="n">
        <f aca="false">IFERROR(G29/G28*100,"")</f>
        <v>9.26087006493211</v>
      </c>
      <c r="H30" s="6" t="n">
        <f aca="false">IFERROR(H29/H28*100,"")</f>
        <v>0.397259956616334</v>
      </c>
      <c r="I30" s="6" t="n">
        <f aca="false">IFERROR(I29/I28*100,"")</f>
        <v>3.5686202250234</v>
      </c>
      <c r="J30" s="6" t="n">
        <f aca="false">IFERROR(J29/J28*100,"")</f>
        <v>51.558209347784</v>
      </c>
      <c r="K30" s="6" t="n">
        <f aca="false">IFERROR(K29/K28*100,"")</f>
        <v>106.198546727608</v>
      </c>
      <c r="L30" s="6" t="n">
        <f aca="false">IFERROR(L29/L28*100,"")</f>
        <v>2.55651030359751</v>
      </c>
      <c r="M30" s="6" t="n">
        <f aca="false">IFERROR(M29/M28*100,"")</f>
        <v>3.44699984469175</v>
      </c>
      <c r="N30" s="6" t="n">
        <f aca="false">IFERROR(N29/N28*100,"")</f>
        <v>1.18726197688181</v>
      </c>
      <c r="O30" s="6" t="n">
        <f aca="false">IFERROR(O29/O28*100,"")</f>
        <v>173.205080756888</v>
      </c>
      <c r="P30" s="6" t="n">
        <f aca="false">IFERROR(P29/P28*100,"")</f>
        <v>3.7142815412592</v>
      </c>
      <c r="Q30" s="6" t="n">
        <f aca="false">IFERROR(Q29/Q28*100,"")</f>
        <v>0.284824811964861</v>
      </c>
    </row>
    <row r="31" customFormat="false" ht="15" hidden="false" customHeight="false" outlineLevel="0" collapsed="false">
      <c r="A31" s="2" t="s">
        <v>55</v>
      </c>
      <c r="B31" s="2" t="s">
        <v>292</v>
      </c>
      <c r="C31" s="2" t="s">
        <v>322</v>
      </c>
      <c r="D31" s="2" t="n">
        <v>4</v>
      </c>
      <c r="E31" s="2"/>
      <c r="F31" s="6" t="n">
        <f aca="false">IFERROR(AVERAGE(F10:F13),"")</f>
        <v>74.5300402883441</v>
      </c>
      <c r="G31" s="6" t="n">
        <f aca="false">IFERROR(AVERAGE(G10:G13),"")</f>
        <v>0.066025</v>
      </c>
      <c r="H31" s="6" t="n">
        <f aca="false">IFERROR(AVERAGE(H10:H13),"")</f>
        <v>13.1200431272884</v>
      </c>
      <c r="I31" s="6" t="n">
        <f aca="false">IFERROR(AVERAGE(I10:I13),"")</f>
        <v>1.5375</v>
      </c>
      <c r="J31" s="6" t="n">
        <f aca="false">IFERROR(AVERAGE(J10:J13),"")</f>
        <v>0.0691</v>
      </c>
      <c r="K31" s="6" t="n">
        <f aca="false">IFERROR(AVERAGE(K10:K13),"")</f>
        <v>0.03165</v>
      </c>
      <c r="L31" s="6" t="n">
        <f aca="false">IFERROR(AVERAGE(L10:L13),"")</f>
        <v>0.748925</v>
      </c>
      <c r="M31" s="6" t="n">
        <f aca="false">IFERROR(AVERAGE(M10:M13),"")</f>
        <v>4.085</v>
      </c>
      <c r="N31" s="6" t="n">
        <f aca="false">IFERROR(AVERAGE(N10:N13),"")</f>
        <v>5.01638994133658</v>
      </c>
      <c r="O31" s="6" t="n">
        <f aca="false">IFERROR(AVERAGE(O10:O13),"")</f>
        <v>0.0179</v>
      </c>
      <c r="P31" s="6" t="n">
        <f aca="false">IFERROR(AVERAGE(P10:P13),"")</f>
        <v>0.321375</v>
      </c>
      <c r="Q31" s="6" t="n">
        <f aca="false">IFERROR(AVERAGE(Q10:Q13),"")</f>
        <v>99.5439483569691</v>
      </c>
    </row>
    <row r="32" customFormat="false" ht="15" hidden="false" customHeight="false" outlineLevel="0" collapsed="false">
      <c r="A32" s="2" t="s">
        <v>55</v>
      </c>
      <c r="B32" s="2" t="s">
        <v>292</v>
      </c>
      <c r="C32" s="2" t="s">
        <v>323</v>
      </c>
      <c r="D32" s="2" t="n">
        <v>4</v>
      </c>
      <c r="E32" s="2"/>
      <c r="F32" s="6" t="n">
        <f aca="false">IFERROR(STDEV(F10:F13),"")</f>
        <v>0.281505219566843</v>
      </c>
      <c r="G32" s="6" t="n">
        <f aca="false">IFERROR(STDEV(G10:G13),"")</f>
        <v>0.03808511301458</v>
      </c>
      <c r="H32" s="6" t="n">
        <f aca="false">IFERROR(STDEV(H10:H13),"")</f>
        <v>0.0312941948759565</v>
      </c>
      <c r="I32" s="6" t="n">
        <f aca="false">IFERROR(STDEV(I10:I13),"")</f>
        <v>0.0221735578260835</v>
      </c>
      <c r="J32" s="6" t="n">
        <f aca="false">IFERROR(STDEV(J10:J13),"")</f>
        <v>0.0197745627848844</v>
      </c>
      <c r="K32" s="6" t="n">
        <f aca="false">IFERROR(STDEV(K10:K13),"")</f>
        <v>0.0243847630020607</v>
      </c>
      <c r="L32" s="6" t="n">
        <f aca="false">IFERROR(STDEV(L10:L13),"")</f>
        <v>0.0223598412337834</v>
      </c>
      <c r="M32" s="6" t="n">
        <f aca="false">IFERROR(STDEV(M10:M13),"")</f>
        <v>0.053229064742238</v>
      </c>
      <c r="N32" s="6" t="n">
        <f aca="false">IFERROR(STDEV(N10:N13),"")</f>
        <v>0.0350895337589266</v>
      </c>
      <c r="O32" s="6" t="n">
        <f aca="false">IFERROR(STDEV(O10:O13),"")</f>
        <v>0.0133853153368408</v>
      </c>
      <c r="P32" s="6" t="n">
        <f aca="false">IFERROR(STDEV(P10:P13),"")</f>
        <v>0.0238080343581741</v>
      </c>
      <c r="Q32" s="6" t="n">
        <f aca="false">IFERROR(STDEV(Q10:Q13),"")</f>
        <v>0.296560870015805</v>
      </c>
    </row>
    <row r="33" customFormat="false" ht="15" hidden="false" customHeight="false" outlineLevel="0" collapsed="false">
      <c r="A33" s="2" t="s">
        <v>55</v>
      </c>
      <c r="B33" s="2" t="s">
        <v>292</v>
      </c>
      <c r="C33" s="2" t="s">
        <v>324</v>
      </c>
      <c r="D33" s="2" t="n">
        <v>4</v>
      </c>
      <c r="E33" s="2"/>
      <c r="F33" s="6" t="n">
        <f aca="false">IFERROR(F32/F31*100,"")</f>
        <v>0.377707054065377</v>
      </c>
      <c r="G33" s="6" t="n">
        <f aca="false">IFERROR(G32/G31*100,"")</f>
        <v>57.6828671178796</v>
      </c>
      <c r="H33" s="6" t="n">
        <f aca="false">IFERROR(H32/H31*100,"")</f>
        <v>0.23852204274289</v>
      </c>
      <c r="I33" s="6" t="n">
        <f aca="false">IFERROR(I32/I31*100,"")</f>
        <v>1.4421826228347</v>
      </c>
      <c r="J33" s="6" t="n">
        <f aca="false">IFERROR(J32/J31*100,"")</f>
        <v>28.617312279138</v>
      </c>
      <c r="K33" s="6" t="n">
        <f aca="false">IFERROR(K32/K31*100,"")</f>
        <v>77.0450647774429</v>
      </c>
      <c r="L33" s="6" t="n">
        <f aca="false">IFERROR(L32/L31*100,"")</f>
        <v>2.9855915123388</v>
      </c>
      <c r="M33" s="6" t="n">
        <f aca="false">IFERROR(M32/M31*100,"")</f>
        <v>1.30303708059334</v>
      </c>
      <c r="N33" s="6" t="n">
        <f aca="false">IFERROR(N32/N31*100,"")</f>
        <v>0.699497729827144</v>
      </c>
      <c r="O33" s="6" t="n">
        <f aca="false">IFERROR(O32/O31*100,"")</f>
        <v>74.7782979711779</v>
      </c>
      <c r="P33" s="6" t="n">
        <f aca="false">IFERROR(P32/P31*100,"")</f>
        <v>7.40817871899623</v>
      </c>
      <c r="Q33" s="6" t="n">
        <f aca="false">IFERROR(Q32/Q31*100,"")</f>
        <v>0.297919536959017</v>
      </c>
    </row>
    <row r="34" customFormat="false" ht="15" hidden="false" customHeight="false" outlineLevel="0" collapsed="false">
      <c r="A34" s="2" t="s">
        <v>55</v>
      </c>
      <c r="B34" s="2" t="s">
        <v>301</v>
      </c>
      <c r="C34" s="2" t="s">
        <v>322</v>
      </c>
      <c r="D34" s="2" t="n">
        <v>4</v>
      </c>
      <c r="E34" s="2"/>
      <c r="F34" s="6" t="n">
        <f aca="false">IFERROR(AVERAGE(F14:F17),"")</f>
        <v>76.5542198575788</v>
      </c>
      <c r="G34" s="6" t="n">
        <f aca="false">IFERROR(AVERAGE(G14:G17),"")</f>
        <v>0.07555</v>
      </c>
      <c r="H34" s="6" t="n">
        <f aca="false">IFERROR(AVERAGE(H14:H17),"")</f>
        <v>12.4089363010562</v>
      </c>
      <c r="I34" s="6" t="n">
        <f aca="false">IFERROR(AVERAGE(I14:I17),"")</f>
        <v>0.80095</v>
      </c>
      <c r="J34" s="6" t="n">
        <f aca="false">IFERROR(AVERAGE(J14:J17),"")</f>
        <v>0.06545</v>
      </c>
      <c r="K34" s="6" t="n">
        <f aca="false">IFERROR(AVERAGE(K14:K17),"")</f>
        <v>0.00605</v>
      </c>
      <c r="L34" s="6" t="n">
        <f aca="false">IFERROR(AVERAGE(L14:L17),"")</f>
        <v>0.336125</v>
      </c>
      <c r="M34" s="6" t="n">
        <f aca="false">IFERROR(AVERAGE(M14:M17),"")</f>
        <v>4.2325</v>
      </c>
      <c r="N34" s="6" t="n">
        <f aca="false">IFERROR(AVERAGE(N14:N17),"")</f>
        <v>4.55366712271754</v>
      </c>
      <c r="O34" s="6" t="n">
        <f aca="false">IFERROR(AVERAGE(O14:O17),"")</f>
        <v>0.0145</v>
      </c>
      <c r="P34" s="6" t="n">
        <f aca="false">IFERROR(AVERAGE(P14:P17),"")</f>
        <v>0.125375</v>
      </c>
      <c r="Q34" s="6" t="n">
        <f aca="false">IFERROR(AVERAGE(Q14:Q17),"")</f>
        <v>99.1733232813525</v>
      </c>
    </row>
    <row r="35" customFormat="false" ht="15" hidden="false" customHeight="false" outlineLevel="0" collapsed="false">
      <c r="A35" s="2" t="s">
        <v>55</v>
      </c>
      <c r="B35" s="2" t="s">
        <v>301</v>
      </c>
      <c r="C35" s="2" t="s">
        <v>323</v>
      </c>
      <c r="D35" s="2" t="n">
        <v>4</v>
      </c>
      <c r="E35" s="2"/>
      <c r="F35" s="6" t="n">
        <f aca="false">IFERROR(STDEV(F14:F17),"")</f>
        <v>0.257136443317384</v>
      </c>
      <c r="G35" s="6" t="n">
        <f aca="false">IFERROR(STDEV(G14:G17),"")</f>
        <v>0.0135647828339909</v>
      </c>
      <c r="H35" s="6" t="n">
        <f aca="false">IFERROR(STDEV(H14:H17),"")</f>
        <v>0.0426067737952989</v>
      </c>
      <c r="I35" s="6" t="n">
        <f aca="false">IFERROR(STDEV(I14:I17),"")</f>
        <v>0.105417313568503</v>
      </c>
      <c r="J35" s="6" t="n">
        <f aca="false">IFERROR(STDEV(J14:J17),"")</f>
        <v>0.0273278246481494</v>
      </c>
      <c r="K35" s="6" t="n">
        <f aca="false">IFERROR(STDEV(K14:K17),"")</f>
        <v>0.00630845992827621</v>
      </c>
      <c r="L35" s="6" t="n">
        <f aca="false">IFERROR(STDEV(L14:L17),"")</f>
        <v>0.0307346031914084</v>
      </c>
      <c r="M35" s="6" t="n">
        <f aca="false">IFERROR(STDEV(M14:M17),"")</f>
        <v>0.0788986691902973</v>
      </c>
      <c r="N35" s="6" t="n">
        <f aca="false">IFERROR(STDEV(N14:N17),"")</f>
        <v>0.0427128755648336</v>
      </c>
      <c r="O35" s="6" t="n">
        <f aca="false">IFERROR(STDEV(O14:O17),"")</f>
        <v>0.0182053105805238</v>
      </c>
      <c r="P35" s="6" t="n">
        <f aca="false">IFERROR(STDEV(P14:P17),"")</f>
        <v>0.00829673630612263</v>
      </c>
      <c r="Q35" s="6" t="n">
        <f aca="false">IFERROR(STDEV(Q14:Q17),"")</f>
        <v>0.431863339168009</v>
      </c>
    </row>
    <row r="36" customFormat="false" ht="15" hidden="false" customHeight="false" outlineLevel="0" collapsed="false">
      <c r="A36" s="2" t="s">
        <v>55</v>
      </c>
      <c r="B36" s="2" t="s">
        <v>301</v>
      </c>
      <c r="C36" s="2" t="s">
        <v>324</v>
      </c>
      <c r="D36" s="2" t="n">
        <v>4</v>
      </c>
      <c r="E36" s="2"/>
      <c r="F36" s="6" t="n">
        <f aca="false">IFERROR(F35/F34*100,"")</f>
        <v>0.335888006952144</v>
      </c>
      <c r="G36" s="6" t="n">
        <f aca="false">IFERROR(G35/G34*100,"")</f>
        <v>17.9547092441971</v>
      </c>
      <c r="H36" s="6" t="n">
        <f aca="false">IFERROR(H35/H34*100,"")</f>
        <v>0.34335556861286</v>
      </c>
      <c r="I36" s="6" t="n">
        <f aca="false">IFERROR(I35/I34*100,"")</f>
        <v>13.1615348734007</v>
      </c>
      <c r="J36" s="6" t="n">
        <f aca="false">IFERROR(J35/J34*100,"")</f>
        <v>41.7537427779211</v>
      </c>
      <c r="K36" s="6" t="n">
        <f aca="false">IFERROR(K35/K34*100,"")</f>
        <v>104.272064930185</v>
      </c>
      <c r="L36" s="6" t="n">
        <f aca="false">IFERROR(L35/L34*100,"")</f>
        <v>9.14380161886454</v>
      </c>
      <c r="M36" s="6" t="n">
        <f aca="false">IFERROR(M35/M34*100,"")</f>
        <v>1.86411504288948</v>
      </c>
      <c r="N36" s="6" t="n">
        <f aca="false">IFERROR(N35/N34*100,"")</f>
        <v>0.937988535695673</v>
      </c>
      <c r="O36" s="6" t="n">
        <f aca="false">IFERROR(O35/O34*100,"")</f>
        <v>125.553866072578</v>
      </c>
      <c r="P36" s="6" t="n">
        <f aca="false">IFERROR(P35/P34*100,"")</f>
        <v>6.61753643559133</v>
      </c>
      <c r="Q36" s="6" t="n">
        <f aca="false">IFERROR(Q35/Q34*100,"")</f>
        <v>0.43546321216122</v>
      </c>
    </row>
    <row r="37" customFormat="false" ht="15" hidden="false" customHeight="false" outlineLevel="0" collapsed="false">
      <c r="A37" s="2" t="s">
        <v>55</v>
      </c>
      <c r="B37" s="2" t="s">
        <v>310</v>
      </c>
      <c r="C37" s="2" t="s">
        <v>322</v>
      </c>
      <c r="D37" s="2" t="n">
        <v>4</v>
      </c>
      <c r="E37" s="2"/>
      <c r="F37" s="6" t="n">
        <f aca="false">IFERROR(AVERAGE(F18:F21),"")</f>
        <v>76.8006417181813</v>
      </c>
      <c r="G37" s="6" t="n">
        <f aca="false">IFERROR(AVERAGE(G18:G21),"")</f>
        <v>0.063075</v>
      </c>
      <c r="H37" s="6" t="n">
        <f aca="false">IFERROR(AVERAGE(H18:H21),"")</f>
        <v>12.0350553924186</v>
      </c>
      <c r="I37" s="6" t="n">
        <f aca="false">IFERROR(AVERAGE(I18:I21),"")</f>
        <v>1.0811</v>
      </c>
      <c r="J37" s="6" t="n">
        <f aca="false">IFERROR(AVERAGE(J18:J21),"")</f>
        <v>0.026325</v>
      </c>
      <c r="K37" s="6" t="n">
        <f aca="false">IFERROR(AVERAGE(K18:K21),"")</f>
        <v>0.027425</v>
      </c>
      <c r="L37" s="6" t="n">
        <f aca="false">IFERROR(AVERAGE(L18:L21),"")</f>
        <v>0.443375</v>
      </c>
      <c r="M37" s="6" t="n">
        <f aca="false">IFERROR(AVERAGE(M18:M21),"")</f>
        <v>3.8925</v>
      </c>
      <c r="N37" s="6" t="n">
        <f aca="false">IFERROR(AVERAGE(N18:N21),"")</f>
        <v>4.86452193932828</v>
      </c>
      <c r="O37" s="6" t="n">
        <f aca="false">IFERROR(AVERAGE(O18:O21),"")</f>
        <v>0.005375</v>
      </c>
      <c r="P37" s="6" t="n">
        <f aca="false">IFERROR(AVERAGE(P18:P21),"")</f>
        <v>0.1035</v>
      </c>
      <c r="Q37" s="6" t="n">
        <f aca="false">IFERROR(AVERAGE(Q18:Q21),"")</f>
        <v>99.3428940499282</v>
      </c>
    </row>
    <row r="38" customFormat="false" ht="15" hidden="false" customHeight="false" outlineLevel="0" collapsed="false">
      <c r="A38" s="2" t="s">
        <v>55</v>
      </c>
      <c r="B38" s="2" t="s">
        <v>310</v>
      </c>
      <c r="C38" s="2" t="s">
        <v>323</v>
      </c>
      <c r="D38" s="2" t="n">
        <v>4</v>
      </c>
      <c r="E38" s="2"/>
      <c r="F38" s="6" t="n">
        <f aca="false">IFERROR(STDEV(F18:F21),"")</f>
        <v>0.606457260684265</v>
      </c>
      <c r="G38" s="6" t="n">
        <f aca="false">IFERROR(STDEV(G18:G21),"")</f>
        <v>0.025200314151481</v>
      </c>
      <c r="H38" s="6" t="n">
        <f aca="false">IFERROR(STDEV(H18:H21),"")</f>
        <v>0.0911283236270517</v>
      </c>
      <c r="I38" s="6" t="n">
        <f aca="false">IFERROR(STDEV(I18:I21),"")</f>
        <v>0.058455966333643</v>
      </c>
      <c r="J38" s="6" t="n">
        <f aca="false">IFERROR(STDEV(J18:J21),"")</f>
        <v>0.00291247317584214</v>
      </c>
      <c r="K38" s="6" t="n">
        <f aca="false">IFERROR(STDEV(K18:K21),"")</f>
        <v>0.0205688072900043</v>
      </c>
      <c r="L38" s="6" t="n">
        <f aca="false">IFERROR(STDEV(L18:L21),"")</f>
        <v>0.00987636066575133</v>
      </c>
      <c r="M38" s="6" t="n">
        <f aca="false">IFERROR(STDEV(M18:M21),"")</f>
        <v>0.0590903263374528</v>
      </c>
      <c r="N38" s="6" t="n">
        <f aca="false">IFERROR(STDEV(N18:N21),"")</f>
        <v>0.0957052118675031</v>
      </c>
      <c r="O38" s="6" t="n">
        <f aca="false">IFERROR(STDEV(O18:O21),"")</f>
        <v>0.00675</v>
      </c>
      <c r="P38" s="6" t="n">
        <f aca="false">IFERROR(STDEV(P18:P21),"")</f>
        <v>0.0178114195578754</v>
      </c>
      <c r="Q38" s="6" t="n">
        <f aca="false">IFERROR(STDEV(Q18:Q21),"")</f>
        <v>0.737719746700773</v>
      </c>
    </row>
    <row r="39" customFormat="false" ht="15" hidden="false" customHeight="false" outlineLevel="0" collapsed="false">
      <c r="A39" s="2" t="s">
        <v>55</v>
      </c>
      <c r="B39" s="2" t="s">
        <v>310</v>
      </c>
      <c r="C39" s="2" t="s">
        <v>324</v>
      </c>
      <c r="D39" s="2" t="n">
        <v>4</v>
      </c>
      <c r="E39" s="2"/>
      <c r="F39" s="6" t="n">
        <f aca="false">IFERROR(F38/F37*100,"")</f>
        <v>0.789651293422326</v>
      </c>
      <c r="G39" s="6" t="n">
        <f aca="false">IFERROR(G38/G37*100,"")</f>
        <v>39.9529356345319</v>
      </c>
      <c r="H39" s="6" t="n">
        <f aca="false">IFERROR(H38/H37*100,"")</f>
        <v>0.757190728714531</v>
      </c>
      <c r="I39" s="6" t="n">
        <f aca="false">IFERROR(I38/I37*100,"")</f>
        <v>5.40708226192239</v>
      </c>
      <c r="J39" s="6" t="n">
        <f aca="false">IFERROR(J38/J37*100,"")</f>
        <v>11.0635258341582</v>
      </c>
      <c r="K39" s="6" t="n">
        <f aca="false">IFERROR(K38/K37*100,"")</f>
        <v>75.0002088970074</v>
      </c>
      <c r="L39" s="6" t="n">
        <f aca="false">IFERROR(L38/L37*100,"")</f>
        <v>2.22754117073613</v>
      </c>
      <c r="M39" s="6" t="n">
        <f aca="false">IFERROR(M38/M37*100,"")</f>
        <v>1.51805591104567</v>
      </c>
      <c r="N39" s="6" t="n">
        <f aca="false">IFERROR(N38/N37*100,"")</f>
        <v>1.96741248289485</v>
      </c>
      <c r="O39" s="6" t="n">
        <f aca="false">IFERROR(O38/O37*100,"")</f>
        <v>125.581395348837</v>
      </c>
      <c r="P39" s="6" t="n">
        <f aca="false">IFERROR(P38/P37*100,"")</f>
        <v>17.2091010221018</v>
      </c>
      <c r="Q39" s="6" t="n">
        <f aca="false">IFERROR(Q38/Q37*100,"")</f>
        <v>0.742599411619725</v>
      </c>
    </row>
    <row r="40" customFormat="false" ht="15" hidden="false" customHeight="false" outlineLevel="0" collapsed="false">
      <c r="A40" s="2"/>
      <c r="B40" s="2"/>
      <c r="C40" s="2"/>
      <c r="D40" s="2"/>
      <c r="E40" s="2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customFormat="false" ht="15" hidden="false" customHeight="false" outlineLevel="0" collapsed="false">
      <c r="A41" s="2" t="s">
        <v>325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326</v>
      </c>
      <c r="B1" s="1" t="s">
        <v>327</v>
      </c>
      <c r="C1" s="1" t="s">
        <v>328</v>
      </c>
    </row>
    <row r="2" customFormat="false" ht="15" hidden="false" customHeight="false" outlineLevel="0" collapsed="false">
      <c r="A2" s="2" t="s">
        <v>329</v>
      </c>
      <c r="B2" s="2" t="s">
        <v>0</v>
      </c>
      <c r="C2" s="2" t="s">
        <v>330</v>
      </c>
    </row>
    <row r="3" customFormat="false" ht="15" hidden="false" customHeight="false" outlineLevel="0" collapsed="false">
      <c r="A3" s="2" t="s">
        <v>329</v>
      </c>
      <c r="B3" s="2" t="s">
        <v>1</v>
      </c>
      <c r="C3" s="2" t="s">
        <v>331</v>
      </c>
    </row>
    <row r="4" customFormat="false" ht="15" hidden="false" customHeight="false" outlineLevel="0" collapsed="false">
      <c r="A4" s="2" t="s">
        <v>329</v>
      </c>
      <c r="B4" s="2" t="s">
        <v>2</v>
      </c>
      <c r="C4" s="2" t="s">
        <v>332</v>
      </c>
    </row>
    <row r="5" customFormat="false" ht="15" hidden="false" customHeight="false" outlineLevel="0" collapsed="false">
      <c r="A5" s="2" t="s">
        <v>329</v>
      </c>
      <c r="B5" s="2" t="s">
        <v>4</v>
      </c>
      <c r="C5" s="2" t="s">
        <v>333</v>
      </c>
    </row>
    <row r="6" customFormat="false" ht="15" hidden="false" customHeight="false" outlineLevel="0" collapsed="false">
      <c r="A6" s="2" t="s">
        <v>329</v>
      </c>
      <c r="B6" s="2" t="s">
        <v>5</v>
      </c>
      <c r="C6" s="2" t="s">
        <v>334</v>
      </c>
    </row>
    <row r="7" customFormat="false" ht="15" hidden="false" customHeight="false" outlineLevel="0" collapsed="false">
      <c r="A7" s="2" t="s">
        <v>329</v>
      </c>
      <c r="B7" s="2" t="s">
        <v>17</v>
      </c>
      <c r="C7" s="2" t="s">
        <v>335</v>
      </c>
    </row>
    <row r="8" customFormat="false" ht="15" hidden="false" customHeight="false" outlineLevel="0" collapsed="false">
      <c r="A8" s="2" t="s">
        <v>329</v>
      </c>
      <c r="B8" s="2" t="s">
        <v>3</v>
      </c>
      <c r="C8" s="2" t="s">
        <v>336</v>
      </c>
    </row>
    <row r="9" customFormat="false" ht="15" hidden="false" customHeight="false" outlineLevel="0" collapsed="false">
      <c r="A9" s="2" t="s">
        <v>329</v>
      </c>
      <c r="B9" s="2" t="s">
        <v>6</v>
      </c>
      <c r="C9" s="2" t="s">
        <v>337</v>
      </c>
    </row>
    <row r="10" customFormat="false" ht="15" hidden="false" customHeight="false" outlineLevel="0" collapsed="false">
      <c r="A10" s="2" t="s">
        <v>329</v>
      </c>
      <c r="B10" s="2" t="s">
        <v>7</v>
      </c>
      <c r="C10" s="2" t="s">
        <v>338</v>
      </c>
    </row>
    <row r="11" customFormat="false" ht="15" hidden="false" customHeight="false" outlineLevel="0" collapsed="false">
      <c r="A11" s="2" t="s">
        <v>329</v>
      </c>
      <c r="B11" s="2" t="s">
        <v>8</v>
      </c>
      <c r="C11" s="2" t="s">
        <v>339</v>
      </c>
    </row>
    <row r="12" customFormat="false" ht="15" hidden="false" customHeight="false" outlineLevel="0" collapsed="false">
      <c r="A12" s="2" t="s">
        <v>329</v>
      </c>
      <c r="B12" s="2" t="s">
        <v>10</v>
      </c>
      <c r="C12" s="2" t="s">
        <v>340</v>
      </c>
    </row>
    <row r="13" customFormat="false" ht="15" hidden="false" customHeight="false" outlineLevel="0" collapsed="false">
      <c r="A13" s="2" t="s">
        <v>329</v>
      </c>
      <c r="B13" s="2" t="s">
        <v>11</v>
      </c>
      <c r="C13" s="2" t="s">
        <v>341</v>
      </c>
    </row>
    <row r="14" customFormat="false" ht="15" hidden="false" customHeight="false" outlineLevel="0" collapsed="false">
      <c r="A14" s="2" t="s">
        <v>329</v>
      </c>
      <c r="B14" s="2" t="s">
        <v>12</v>
      </c>
      <c r="C14" s="2" t="s">
        <v>342</v>
      </c>
    </row>
    <row r="15" customFormat="false" ht="15" hidden="false" customHeight="false" outlineLevel="0" collapsed="false">
      <c r="A15" s="2" t="s">
        <v>329</v>
      </c>
      <c r="B15" s="2" t="s">
        <v>13</v>
      </c>
      <c r="C15" s="2" t="s">
        <v>343</v>
      </c>
    </row>
    <row r="16" customFormat="false" ht="15" hidden="false" customHeight="false" outlineLevel="0" collapsed="false">
      <c r="A16" s="2" t="s">
        <v>329</v>
      </c>
      <c r="B16" s="2" t="s">
        <v>14</v>
      </c>
      <c r="C16" s="2" t="s">
        <v>344</v>
      </c>
    </row>
    <row r="17" customFormat="false" ht="15" hidden="false" customHeight="false" outlineLevel="0" collapsed="false">
      <c r="A17" s="2" t="s">
        <v>329</v>
      </c>
      <c r="B17" s="2" t="s">
        <v>15</v>
      </c>
      <c r="C17" s="2" t="s">
        <v>345</v>
      </c>
    </row>
    <row r="18" customFormat="false" ht="15" hidden="false" customHeight="false" outlineLevel="0" collapsed="false">
      <c r="A18" s="2" t="s">
        <v>329</v>
      </c>
      <c r="B18" s="2" t="s">
        <v>9</v>
      </c>
      <c r="C18" s="2" t="s">
        <v>346</v>
      </c>
    </row>
    <row r="19" customFormat="false" ht="15" hidden="false" customHeight="false" outlineLevel="0" collapsed="false">
      <c r="A19" s="2" t="s">
        <v>329</v>
      </c>
      <c r="B19" s="2" t="s">
        <v>16</v>
      </c>
      <c r="C19" s="2" t="s">
        <v>347</v>
      </c>
    </row>
    <row r="20" customFormat="false" ht="15" hidden="false" customHeight="false" outlineLevel="0" collapsed="false">
      <c r="A20" s="2" t="s">
        <v>329</v>
      </c>
      <c r="B20" s="2" t="s">
        <v>17</v>
      </c>
      <c r="C20" s="2" t="s">
        <v>348</v>
      </c>
    </row>
    <row r="21" customFormat="false" ht="15" hidden="false" customHeight="false" outlineLevel="0" collapsed="false">
      <c r="A21" s="2" t="s">
        <v>329</v>
      </c>
      <c r="B21" s="2" t="s">
        <v>349</v>
      </c>
      <c r="C21" s="2" t="s">
        <v>350</v>
      </c>
    </row>
    <row r="22" customFormat="false" ht="15" hidden="false" customHeight="false" outlineLevel="0" collapsed="false">
      <c r="A22" s="2" t="s">
        <v>329</v>
      </c>
      <c r="B22" s="2" t="s">
        <v>28</v>
      </c>
      <c r="C22" s="2" t="s">
        <v>351</v>
      </c>
    </row>
    <row r="23" customFormat="false" ht="15" hidden="false" customHeight="false" outlineLevel="0" collapsed="false">
      <c r="A23" s="2" t="s">
        <v>329</v>
      </c>
      <c r="B23" s="2" t="s">
        <v>29</v>
      </c>
      <c r="C23" s="2" t="s">
        <v>352</v>
      </c>
    </row>
    <row r="24" customFormat="false" ht="15" hidden="false" customHeight="false" outlineLevel="0" collapsed="false">
      <c r="A24" s="2" t="s">
        <v>329</v>
      </c>
      <c r="B24" s="2" t="s">
        <v>30</v>
      </c>
      <c r="C24" s="2" t="s">
        <v>353</v>
      </c>
    </row>
    <row r="25" customFormat="false" ht="15" hidden="false" customHeight="false" outlineLevel="0" collapsed="false">
      <c r="A25" s="2" t="s">
        <v>329</v>
      </c>
      <c r="B25" s="2" t="s">
        <v>31</v>
      </c>
      <c r="C25" s="2" t="s">
        <v>354</v>
      </c>
    </row>
    <row r="26" customFormat="false" ht="15" hidden="false" customHeight="false" outlineLevel="0" collapsed="false">
      <c r="A26" s="2" t="s">
        <v>329</v>
      </c>
      <c r="B26" s="2" t="s">
        <v>355</v>
      </c>
      <c r="C26" s="2" t="s">
        <v>356</v>
      </c>
    </row>
    <row r="27" customFormat="false" ht="15" hidden="false" customHeight="false" outlineLevel="0" collapsed="false">
      <c r="A27" s="2" t="s">
        <v>329</v>
      </c>
      <c r="B27" s="2" t="s">
        <v>34</v>
      </c>
      <c r="C27" s="2" t="s">
        <v>357</v>
      </c>
    </row>
    <row r="28" customFormat="false" ht="15" hidden="false" customHeight="false" outlineLevel="0" collapsed="false">
      <c r="A28" s="2" t="s">
        <v>329</v>
      </c>
      <c r="B28" s="2" t="s">
        <v>35</v>
      </c>
      <c r="C28" s="2" t="s">
        <v>358</v>
      </c>
    </row>
    <row r="29" customFormat="false" ht="15" hidden="false" customHeight="false" outlineLevel="0" collapsed="false">
      <c r="A29" s="2" t="s">
        <v>329</v>
      </c>
      <c r="B29" s="2" t="s">
        <v>36</v>
      </c>
      <c r="C29" s="2" t="s">
        <v>359</v>
      </c>
    </row>
    <row r="30" customFormat="false" ht="15" hidden="false" customHeight="false" outlineLevel="0" collapsed="false">
      <c r="A30" s="2" t="s">
        <v>329</v>
      </c>
      <c r="B30" s="2" t="s">
        <v>360</v>
      </c>
      <c r="C30" s="2" t="s">
        <v>361</v>
      </c>
    </row>
    <row r="31" customFormat="false" ht="15" hidden="false" customHeight="false" outlineLevel="0" collapsed="false">
      <c r="A31" s="2" t="s">
        <v>329</v>
      </c>
      <c r="B31" s="2" t="s">
        <v>39</v>
      </c>
      <c r="C31" s="2" t="s">
        <v>362</v>
      </c>
    </row>
    <row r="32" customFormat="false" ht="15" hidden="false" customHeight="false" outlineLevel="0" collapsed="false">
      <c r="A32" s="2" t="s">
        <v>329</v>
      </c>
      <c r="B32" s="2" t="s">
        <v>40</v>
      </c>
      <c r="C32" s="2" t="s">
        <v>363</v>
      </c>
    </row>
    <row r="33" customFormat="false" ht="15" hidden="false" customHeight="false" outlineLevel="0" collapsed="false">
      <c r="A33" s="2" t="s">
        <v>329</v>
      </c>
      <c r="B33" s="2" t="s">
        <v>364</v>
      </c>
      <c r="C33" s="2" t="s">
        <v>365</v>
      </c>
    </row>
    <row r="34" customFormat="false" ht="15" hidden="false" customHeight="false" outlineLevel="0" collapsed="false">
      <c r="A34" s="2" t="s">
        <v>329</v>
      </c>
      <c r="B34" s="2" t="s">
        <v>366</v>
      </c>
      <c r="C34" s="2" t="s">
        <v>367</v>
      </c>
    </row>
    <row r="35" customFormat="false" ht="15" hidden="false" customHeight="false" outlineLevel="0" collapsed="false">
      <c r="A35" s="2" t="s">
        <v>329</v>
      </c>
      <c r="B35" s="2" t="s">
        <v>368</v>
      </c>
      <c r="C35" s="2" t="s">
        <v>369</v>
      </c>
    </row>
    <row r="36" customFormat="false" ht="15" hidden="false" customHeight="false" outlineLevel="0" collapsed="false">
      <c r="A36" s="2" t="s">
        <v>370</v>
      </c>
      <c r="B36" s="2" t="s">
        <v>371</v>
      </c>
      <c r="C36" s="2" t="s">
        <v>372</v>
      </c>
    </row>
    <row r="37" customFormat="false" ht="15" hidden="false" customHeight="false" outlineLevel="0" collapsed="false">
      <c r="A37" s="2" t="s">
        <v>370</v>
      </c>
      <c r="B37" s="2" t="s">
        <v>210</v>
      </c>
      <c r="C37" s="2" t="s">
        <v>373</v>
      </c>
    </row>
    <row r="38" customFormat="false" ht="15" hidden="false" customHeight="false" outlineLevel="0" collapsed="false">
      <c r="A38" s="2" t="s">
        <v>370</v>
      </c>
      <c r="B38" s="2" t="s">
        <v>211</v>
      </c>
      <c r="C38" s="2" t="s">
        <v>374</v>
      </c>
    </row>
    <row r="39" customFormat="false" ht="15" hidden="false" customHeight="false" outlineLevel="0" collapsed="false">
      <c r="A39" s="2" t="s">
        <v>370</v>
      </c>
      <c r="B39" s="2" t="s">
        <v>212</v>
      </c>
      <c r="C39" s="2" t="s">
        <v>375</v>
      </c>
    </row>
    <row r="40" customFormat="false" ht="15" hidden="false" customHeight="false" outlineLevel="0" collapsed="false">
      <c r="A40" s="2" t="s">
        <v>370</v>
      </c>
      <c r="B40" s="2" t="s">
        <v>213</v>
      </c>
      <c r="C40" s="2" t="s">
        <v>376</v>
      </c>
    </row>
    <row r="41" customFormat="false" ht="15" hidden="false" customHeight="false" outlineLevel="0" collapsed="false">
      <c r="A41" s="2" t="s">
        <v>370</v>
      </c>
      <c r="B41" s="2" t="s">
        <v>214</v>
      </c>
      <c r="C41" s="2" t="s">
        <v>377</v>
      </c>
    </row>
    <row r="42" customFormat="false" ht="15" hidden="false" customHeight="false" outlineLevel="0" collapsed="false">
      <c r="A42" s="2" t="s">
        <v>370</v>
      </c>
      <c r="B42" s="2" t="s">
        <v>215</v>
      </c>
      <c r="C42" s="2" t="s">
        <v>378</v>
      </c>
    </row>
    <row r="43" customFormat="false" ht="15" hidden="false" customHeight="false" outlineLevel="0" collapsed="false">
      <c r="A43" s="2" t="s">
        <v>370</v>
      </c>
      <c r="B43" s="2" t="s">
        <v>216</v>
      </c>
      <c r="C43" s="2" t="s">
        <v>379</v>
      </c>
    </row>
    <row r="44" customFormat="false" ht="15" hidden="false" customHeight="false" outlineLevel="0" collapsed="false">
      <c r="A44" s="2" t="s">
        <v>370</v>
      </c>
      <c r="B44" s="2" t="s">
        <v>217</v>
      </c>
      <c r="C44" s="2" t="s">
        <v>380</v>
      </c>
    </row>
    <row r="45" customFormat="false" ht="15" hidden="false" customHeight="false" outlineLevel="0" collapsed="false">
      <c r="A45" s="2" t="s">
        <v>370</v>
      </c>
      <c r="B45" s="2" t="s">
        <v>218</v>
      </c>
      <c r="C45" s="2" t="s">
        <v>381</v>
      </c>
    </row>
    <row r="46" customFormat="false" ht="15" hidden="false" customHeight="false" outlineLevel="0" collapsed="false">
      <c r="A46" s="2" t="s">
        <v>370</v>
      </c>
      <c r="B46" s="2" t="s">
        <v>219</v>
      </c>
      <c r="C46" s="2" t="s">
        <v>382</v>
      </c>
    </row>
    <row r="47" customFormat="false" ht="15" hidden="false" customHeight="false" outlineLevel="0" collapsed="false">
      <c r="A47" s="2" t="s">
        <v>370</v>
      </c>
      <c r="B47" s="2" t="s">
        <v>220</v>
      </c>
      <c r="C47" s="2" t="s">
        <v>383</v>
      </c>
    </row>
    <row r="48" customFormat="false" ht="15" hidden="false" customHeight="false" outlineLevel="0" collapsed="false">
      <c r="A48" s="2" t="s">
        <v>370</v>
      </c>
      <c r="B48" s="2" t="s">
        <v>221</v>
      </c>
      <c r="C48" s="2" t="s">
        <v>384</v>
      </c>
    </row>
    <row r="49" customFormat="false" ht="15" hidden="false" customHeight="false" outlineLevel="0" collapsed="false">
      <c r="A49" s="2" t="s">
        <v>385</v>
      </c>
      <c r="B49" s="2" t="s">
        <v>3</v>
      </c>
      <c r="C49" s="2" t="s">
        <v>336</v>
      </c>
    </row>
    <row r="50" customFormat="false" ht="15" hidden="false" customHeight="false" outlineLevel="0" collapsed="false">
      <c r="A50" s="2" t="s">
        <v>385</v>
      </c>
      <c r="B50" s="2" t="s">
        <v>264</v>
      </c>
      <c r="C50" s="2" t="s">
        <v>386</v>
      </c>
    </row>
    <row r="51" customFormat="false" ht="15" hidden="false" customHeight="false" outlineLevel="0" collapsed="false">
      <c r="A51" s="2" t="s">
        <v>385</v>
      </c>
      <c r="B51" s="2" t="s">
        <v>387</v>
      </c>
      <c r="C51" s="2" t="s">
        <v>388</v>
      </c>
    </row>
    <row r="52" customFormat="false" ht="15" hidden="false" customHeight="false" outlineLevel="0" collapsed="false">
      <c r="A52" s="2" t="s">
        <v>385</v>
      </c>
      <c r="B52" s="2" t="s">
        <v>389</v>
      </c>
      <c r="C52" s="2" t="s">
        <v>390</v>
      </c>
    </row>
    <row r="53" customFormat="false" ht="15" hidden="false" customHeight="false" outlineLevel="0" collapsed="false">
      <c r="A53" s="2" t="s">
        <v>385</v>
      </c>
      <c r="B53" s="2" t="s">
        <v>391</v>
      </c>
      <c r="C53" s="2" t="s"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2026-08-27T18:04:36Z</dcterms:created>
  <dc:creator>openpyxl</dc:creator>
  <dc:description/>
  <dc:language>en-US</dc:language>
  <cp:lastModifiedBy/>
  <dcterms:modified xsi:type="dcterms:W3CDTF">2026-08-27T18:04:36Z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