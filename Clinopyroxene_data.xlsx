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X" sheetId="1" state="visible" r:id="rId3"/>
    <sheet name="Count" sheetId="2" state="visible" r:id="rId4"/>
    <sheet name="STD" sheetId="3" state="visible" r:id="rId5"/>
    <sheet name="Heading_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<sst xmlns="http://schemas.openxmlformats.org/spreadsheetml/2006/main" count="2193" uniqueCount="620">
  <si>
    <t xml:space="preserve">Sample_ID</t>
  </si>
  <si>
    <t xml:space="preserve">Eruption</t>
  </si>
  <si>
    <t xml:space="preserve">Sample</t>
  </si>
  <si>
    <t xml:space="preserve">Session</t>
  </si>
  <si>
    <t xml:space="preserve">Number</t>
  </si>
  <si>
    <t xml:space="preserve">Date</t>
  </si>
  <si>
    <t xml:space="preserve">Position</t>
  </si>
  <si>
    <t xml:space="preserve">Sector</t>
  </si>
  <si>
    <t xml:space="preserve">Group</t>
  </si>
  <si>
    <t xml:space="preserve">Subgroup</t>
  </si>
  <si>
    <t xml:space="preserve">SiO2_Cpx</t>
  </si>
  <si>
    <t xml:space="preserve">TiO2_Cpx</t>
  </si>
  <si>
    <t xml:space="preserve">Al2O3_Cpx</t>
  </si>
  <si>
    <t xml:space="preserve">FeOt_Cpx</t>
  </si>
  <si>
    <t xml:space="preserve">MnO_Cpx</t>
  </si>
  <si>
    <t xml:space="preserve">MgO_Cpx</t>
  </si>
  <si>
    <t xml:space="preserve">CaO_Cpx</t>
  </si>
  <si>
    <t xml:space="preserve">Na2O_Cpx</t>
  </si>
  <si>
    <t xml:space="preserve">K2O_Cpx</t>
  </si>
  <si>
    <t xml:space="preserve">Cr2O3_Cpx</t>
  </si>
  <si>
    <t xml:space="preserve">Total</t>
  </si>
  <si>
    <t xml:space="preserve">O_sum</t>
  </si>
  <si>
    <t xml:space="preserve">Si</t>
  </si>
  <si>
    <t xml:space="preserve">Ti</t>
  </si>
  <si>
    <t xml:space="preserve">Al</t>
  </si>
  <si>
    <t xml:space="preserve">Fe</t>
  </si>
  <si>
    <t xml:space="preserve">Mg</t>
  </si>
  <si>
    <t xml:space="preserve">Ca</t>
  </si>
  <si>
    <t xml:space="preserve">Na</t>
  </si>
  <si>
    <t xml:space="preserve">K</t>
  </si>
  <si>
    <t xml:space="preserve">Cr</t>
  </si>
  <si>
    <t xml:space="preserve">Mn</t>
  </si>
  <si>
    <t xml:space="preserve">En</t>
  </si>
  <si>
    <t xml:space="preserve">Fs</t>
  </si>
  <si>
    <t xml:space="preserve">Wo</t>
  </si>
  <si>
    <t xml:space="preserve">Mg_num</t>
  </si>
  <si>
    <t xml:space="preserve">Al_IV</t>
  </si>
  <si>
    <t xml:space="preserve">Al_VI</t>
  </si>
  <si>
    <t xml:space="preserve">Jd</t>
  </si>
  <si>
    <t xml:space="preserve">CaTs</t>
  </si>
  <si>
    <t xml:space="preserve">CaTi</t>
  </si>
  <si>
    <t xml:space="preserve">Pressure_kbar</t>
  </si>
  <si>
    <t xml:space="preserve">Percentile_16_kbar</t>
  </si>
  <si>
    <t xml:space="preserve">Percentile_84_kbar</t>
  </si>
  <si>
    <t xml:space="preserve">Temperature_C</t>
  </si>
  <si>
    <t xml:space="preserve">Percentile_16_DegC</t>
  </si>
  <si>
    <t xml:space="preserve">Percentile_84_DegC</t>
  </si>
  <si>
    <t xml:space="preserve">Depth_km</t>
  </si>
  <si>
    <t xml:space="preserve">Depth_16_km</t>
  </si>
  <si>
    <t xml:space="preserve">Depth_84_km</t>
  </si>
  <si>
    <t xml:space="preserve">Mean_P_kbar_calc_CPXLiq</t>
  </si>
  <si>
    <t xml:space="preserve">Std_P_kbar_calc_CPXLiq</t>
  </si>
  <si>
    <t xml:space="preserve">P_low_CPXLiq</t>
  </si>
  <si>
    <t xml:space="preserve">P_high_CPXLiq</t>
  </si>
  <si>
    <t xml:space="preserve">Mean_T_K_calc_CPXLiq</t>
  </si>
  <si>
    <t xml:space="preserve">Std_T_K_calc_CPXLiq</t>
  </si>
  <si>
    <t xml:space="preserve">n_matches_CPXLiq</t>
  </si>
  <si>
    <t xml:space="preserve">n_pairs_MC_CPXLiq</t>
  </si>
  <si>
    <t xml:space="preserve">Mean_depth_km_calc_CPXLiq</t>
  </si>
  <si>
    <t xml:space="preserve">Std_depth_km_calc_CPXLiq</t>
  </si>
  <si>
    <t xml:space="preserve">Depth_low_CPXLiq</t>
  </si>
  <si>
    <t xml:space="preserve">Depth_high_CPXLiq</t>
  </si>
  <si>
    <t xml:space="preserve">Pressure_kbar_median_CLML</t>
  </si>
  <si>
    <t xml:space="preserve">Pressure_kbar_lower_lim_CLML</t>
  </si>
  <si>
    <t xml:space="preserve">Pressure_kbar_upper_lim_CLML</t>
  </si>
  <si>
    <t xml:space="preserve">n_matches_P_CLML</t>
  </si>
  <si>
    <t xml:space="preserve">Temperature_C_median_CLML</t>
  </si>
  <si>
    <t xml:space="preserve">Temperature_C_lower_lim_CLML</t>
  </si>
  <si>
    <t xml:space="preserve">Temperature_C_upper_lim_CLML</t>
  </si>
  <si>
    <t xml:space="preserve">n_matches_T_CLML</t>
  </si>
  <si>
    <t xml:space="preserve">Depth_km_CLML</t>
  </si>
  <si>
    <t xml:space="preserve">Depth_low_CLML</t>
  </si>
  <si>
    <t xml:space="preserve">Depth_high_CLML</t>
  </si>
  <si>
    <t xml:space="preserve">SiO2_Liq</t>
  </si>
  <si>
    <t xml:space="preserve">TiO2_Liq</t>
  </si>
  <si>
    <t xml:space="preserve">Al2O3_Liq</t>
  </si>
  <si>
    <t xml:space="preserve">FeOt_Liq</t>
  </si>
  <si>
    <t xml:space="preserve">MnO_Liq</t>
  </si>
  <si>
    <t xml:space="preserve">MgO_Liq</t>
  </si>
  <si>
    <t xml:space="preserve">CaO_Liq</t>
  </si>
  <si>
    <t xml:space="preserve">Na2O_Liq</t>
  </si>
  <si>
    <t xml:space="preserve">K2O_Liq</t>
  </si>
  <si>
    <t xml:space="preserve">P2O5_Liq</t>
  </si>
  <si>
    <t xml:space="preserve">Fe3Fet_Liq</t>
  </si>
  <si>
    <t xml:space="preserve">Fe15-07_Cpx_11_1</t>
  </si>
  <si>
    <t xml:space="preserve">Fe15_07</t>
  </si>
  <si>
    <t xml:space="preserve">MS_101224_cpx</t>
  </si>
  <si>
    <t xml:space="preserve">Dec 11 05:54 2024</t>
  </si>
  <si>
    <t xml:space="preserve">C</t>
  </si>
  <si>
    <t xml:space="preserve">D</t>
  </si>
  <si>
    <t xml:space="preserve">A</t>
  </si>
  <si>
    <t xml:space="preserve">Fe15-07_Cpx_11_2</t>
  </si>
  <si>
    <t xml:space="preserve">Dec 11 05:58 2024</t>
  </si>
  <si>
    <t xml:space="preserve">M</t>
  </si>
  <si>
    <t xml:space="preserve">L</t>
  </si>
  <si>
    <t xml:space="preserve">Fe15-07_Cpx_11_4</t>
  </si>
  <si>
    <t xml:space="preserve">Dec 11 06:06 2024</t>
  </si>
  <si>
    <t xml:space="preserve">R</t>
  </si>
  <si>
    <t xml:space="preserve">Fe15-07_Cpx_4_1</t>
  </si>
  <si>
    <t xml:space="preserve">Dec 11 06:10 2024</t>
  </si>
  <si>
    <t xml:space="preserve">Fe15-07_Cpx_4_2</t>
  </si>
  <si>
    <t xml:space="preserve">Dec 11 06:14 2024</t>
  </si>
  <si>
    <t xml:space="preserve">Fe15-07_Cpx_4_3</t>
  </si>
  <si>
    <t xml:space="preserve">Dec 11 06:18 2024</t>
  </si>
  <si>
    <t xml:space="preserve">Fe15-07_Cpx_4_4</t>
  </si>
  <si>
    <t xml:space="preserve">Dec 11 06:22 2024</t>
  </si>
  <si>
    <t xml:space="preserve">Fe15-07_Cpx_1_1</t>
  </si>
  <si>
    <t xml:space="preserve">Dec 11 06:25 2024</t>
  </si>
  <si>
    <t xml:space="preserve">N</t>
  </si>
  <si>
    <t xml:space="preserve">Fe15-07_Cpx_1_2</t>
  </si>
  <si>
    <t xml:space="preserve">Dec 11 06:29 2024</t>
  </si>
  <si>
    <t xml:space="preserve">Fe15-07_Cpx_1_3</t>
  </si>
  <si>
    <t xml:space="preserve">Dec 11 06:33 2024</t>
  </si>
  <si>
    <t xml:space="preserve">Fe15-07_Cpx_24_1</t>
  </si>
  <si>
    <t xml:space="preserve">Dec 11 06:41 2024</t>
  </si>
  <si>
    <t xml:space="preserve">Fe15-07_Cpx_24_2</t>
  </si>
  <si>
    <t xml:space="preserve">Dec 11 06:45 2024</t>
  </si>
  <si>
    <t xml:space="preserve">Fe15-07_Cpx_24_3</t>
  </si>
  <si>
    <t xml:space="preserve">Dec 11 06:48 2024</t>
  </si>
  <si>
    <t xml:space="preserve">Fe15-07_Cpx_24_4</t>
  </si>
  <si>
    <t xml:space="preserve">Dec 11 06:52 2024</t>
  </si>
  <si>
    <t xml:space="preserve">Fe15-07_Cpx_25_1</t>
  </si>
  <si>
    <t xml:space="preserve">Dec 11 06:56 2024</t>
  </si>
  <si>
    <t xml:space="preserve">Fe15-07_Cpx_25_2</t>
  </si>
  <si>
    <t xml:space="preserve">Dec 11 07:00 2024</t>
  </si>
  <si>
    <t xml:space="preserve">Fe15-07_Cpx_25_3</t>
  </si>
  <si>
    <t xml:space="preserve">Dec 11 07:04 2024</t>
  </si>
  <si>
    <t xml:space="preserve">Fe15-07_Cpx_25_4</t>
  </si>
  <si>
    <t xml:space="preserve">Dec 11 07:07 2024</t>
  </si>
  <si>
    <t xml:space="preserve">Fe15-07_Cpx_25_5</t>
  </si>
  <si>
    <t xml:space="preserve">Dec 11 07:11 2024</t>
  </si>
  <si>
    <t xml:space="preserve">Fe15-07_Cpx_25_6</t>
  </si>
  <si>
    <t xml:space="preserve">Dec 11 07:15 2024</t>
  </si>
  <si>
    <t xml:space="preserve">Fe15-07_Cpx_25_7</t>
  </si>
  <si>
    <t xml:space="preserve">Dec 11 07:19 2024</t>
  </si>
  <si>
    <t xml:space="preserve">Fe15-07_Glom_43_2</t>
  </si>
  <si>
    <t xml:space="preserve">Dec 11 07:27 2024</t>
  </si>
  <si>
    <t xml:space="preserve">Fe15-07_Glom_43_3</t>
  </si>
  <si>
    <t xml:space="preserve">Dec 11 07:30 2024</t>
  </si>
  <si>
    <t xml:space="preserve">Fe15-07_Glom_43_4</t>
  </si>
  <si>
    <t xml:space="preserve">Dec 11 07:34 2024</t>
  </si>
  <si>
    <t xml:space="preserve">Fe15-07_Cpx_27_1</t>
  </si>
  <si>
    <t xml:space="preserve">Dec 11 07:38 2024</t>
  </si>
  <si>
    <t xml:space="preserve">Fe15-07_Cpx_27_2</t>
  </si>
  <si>
    <t xml:space="preserve">Dec 11 07:42 2024</t>
  </si>
  <si>
    <t xml:space="preserve">Fe15-07_Cpx_27_3</t>
  </si>
  <si>
    <t xml:space="preserve">Dec 11 07:46 2024</t>
  </si>
  <si>
    <t xml:space="preserve">Fe15-07_Cpx_27_4</t>
  </si>
  <si>
    <t xml:space="preserve">Dec 11 07:50 2024</t>
  </si>
  <si>
    <t xml:space="preserve">Fe15-07_Cpx_27_5</t>
  </si>
  <si>
    <t xml:space="preserve">Dec 11 07:54 2024</t>
  </si>
  <si>
    <t xml:space="preserve">Fe15-07_Cpx_28_1</t>
  </si>
  <si>
    <t xml:space="preserve">Dec 11 07:57 2024</t>
  </si>
  <si>
    <t xml:space="preserve">Fe15-07_Cpx_28_2</t>
  </si>
  <si>
    <t xml:space="preserve">Dec 11 08:01 2024</t>
  </si>
  <si>
    <t xml:space="preserve">Fe15-07_Cpx_28_3</t>
  </si>
  <si>
    <t xml:space="preserve">Dec 11 08:05 2024</t>
  </si>
  <si>
    <t xml:space="preserve">Fe15-07_Cpx_28_4</t>
  </si>
  <si>
    <t xml:space="preserve">Dec 11 08:09 2024</t>
  </si>
  <si>
    <t xml:space="preserve">Fe15-07_Cpx_28_5</t>
  </si>
  <si>
    <t xml:space="preserve">Dec 11 08:13 2024</t>
  </si>
  <si>
    <t xml:space="preserve">Fe15-07_Cpx_22_1</t>
  </si>
  <si>
    <t xml:space="preserve">Dec 11 08:17 2024</t>
  </si>
  <si>
    <t xml:space="preserve">B</t>
  </si>
  <si>
    <t xml:space="preserve">Fe15-07_Cpx_22_2</t>
  </si>
  <si>
    <t xml:space="preserve">Dec 11 08:21 2024</t>
  </si>
  <si>
    <t xml:space="preserve">Fe15-07_Cpx_22_3</t>
  </si>
  <si>
    <t xml:space="preserve">Dec 11 08:24 2024</t>
  </si>
  <si>
    <t xml:space="preserve">Fe15-07_Cpx_22_4</t>
  </si>
  <si>
    <t xml:space="preserve">Dec 11 08:28 2024</t>
  </si>
  <si>
    <t xml:space="preserve">Fe15-07_Cpx_21_1</t>
  </si>
  <si>
    <t xml:space="preserve">Dec 11 08:36 2024</t>
  </si>
  <si>
    <t xml:space="preserve">Fe15-07_Cpx_21_2</t>
  </si>
  <si>
    <t xml:space="preserve">Dec 11 08:40 2024</t>
  </si>
  <si>
    <t xml:space="preserve">Fe15-07_Cpx_21_4</t>
  </si>
  <si>
    <t xml:space="preserve">Dec 11 08:48 2024</t>
  </si>
  <si>
    <t xml:space="preserve">Fe15-07_Cpx_23_1</t>
  </si>
  <si>
    <t xml:space="preserve">Dec 11 09:49 2024</t>
  </si>
  <si>
    <t xml:space="preserve">Fe15-07_Cpx_23_2</t>
  </si>
  <si>
    <t xml:space="preserve">Dec 11 09:53 2024</t>
  </si>
  <si>
    <t xml:space="preserve">Fe15-07_Cpx_23_3</t>
  </si>
  <si>
    <t xml:space="preserve">Dec 11 09:57 2024</t>
  </si>
  <si>
    <t xml:space="preserve">Fe15-07_Cpx_23_4</t>
  </si>
  <si>
    <t xml:space="preserve">Dec 11 10:01 2024</t>
  </si>
  <si>
    <t xml:space="preserve">Fe15-07_Cpx_23_5</t>
  </si>
  <si>
    <t xml:space="preserve">Dec 11 10:04 2024</t>
  </si>
  <si>
    <t xml:space="preserve">Fe15-14_cpx_27_1</t>
  </si>
  <si>
    <t xml:space="preserve">Fe15_14</t>
  </si>
  <si>
    <t xml:space="preserve">MS_061224_cpx</t>
  </si>
  <si>
    <t xml:space="preserve">Dec 7 12:11 2024</t>
  </si>
  <si>
    <t xml:space="preserve">Fe15-14_cpx_27_2</t>
  </si>
  <si>
    <t xml:space="preserve">Dec 7 12:15 2024</t>
  </si>
  <si>
    <t xml:space="preserve">Fe15-14_cpx_27_3</t>
  </si>
  <si>
    <t xml:space="preserve">Dec 7 12:19 2024</t>
  </si>
  <si>
    <t xml:space="preserve">Fe15-14_cpx_3_1</t>
  </si>
  <si>
    <t xml:space="preserve">Dec 7 12:23 2024</t>
  </si>
  <si>
    <t xml:space="preserve">Fe15-14_cpx_3_2</t>
  </si>
  <si>
    <t xml:space="preserve">Dec 7 12:26 2024</t>
  </si>
  <si>
    <t xml:space="preserve">Fe15-14_cpx_3_3</t>
  </si>
  <si>
    <t xml:space="preserve">Dec 7 12:30 2024</t>
  </si>
  <si>
    <t xml:space="preserve">Fe15-14_cpx_1_1</t>
  </si>
  <si>
    <t xml:space="preserve">Dec 7 12:34 2024</t>
  </si>
  <si>
    <t xml:space="preserve">Fe15-14_cpx_1_2</t>
  </si>
  <si>
    <t xml:space="preserve">Dec 7 12:38 2024</t>
  </si>
  <si>
    <t xml:space="preserve">Fe15-14_cpx_1_3</t>
  </si>
  <si>
    <t xml:space="preserve">Dec 7 12:42 2024</t>
  </si>
  <si>
    <t xml:space="preserve">Fe15-14_cpx_2_1</t>
  </si>
  <si>
    <t xml:space="preserve">Dec 7 12:46 2024</t>
  </si>
  <si>
    <t xml:space="preserve">Fe15-14_cpx_2_2</t>
  </si>
  <si>
    <t xml:space="preserve">Dec 7 12:49 2024</t>
  </si>
  <si>
    <t xml:space="preserve">Fe15-14_cpx_2_3</t>
  </si>
  <si>
    <t xml:space="preserve">Dec 7 12:53 2024</t>
  </si>
  <si>
    <t xml:space="preserve">Fe15-14_cpx_19_1</t>
  </si>
  <si>
    <t xml:space="preserve">Dec 7 12:57 2024</t>
  </si>
  <si>
    <t xml:space="preserve">Fe15-14_cpx_19_2</t>
  </si>
  <si>
    <t xml:space="preserve">Dec 7 13:01 2024</t>
  </si>
  <si>
    <t xml:space="preserve">Fe15-14_cpx_19_3</t>
  </si>
  <si>
    <t xml:space="preserve">Dec 7 13:05 2024</t>
  </si>
  <si>
    <t xml:space="preserve">Fe15-14_cpx_5_1</t>
  </si>
  <si>
    <t xml:space="preserve">Dec 7 13:09 2024</t>
  </si>
  <si>
    <t xml:space="preserve">Fe15-14_cpx_5_2</t>
  </si>
  <si>
    <t xml:space="preserve">Dec 7 13:12 2024</t>
  </si>
  <si>
    <t xml:space="preserve">Fe15-14_cpx_5_3</t>
  </si>
  <si>
    <t xml:space="preserve">Dec 7 13:16 2024</t>
  </si>
  <si>
    <t xml:space="preserve">Fe15-14_cpx_8_1</t>
  </si>
  <si>
    <t xml:space="preserve">Dec 7 13:20 2024</t>
  </si>
  <si>
    <t xml:space="preserve">Fe15-14_cpx_8_2</t>
  </si>
  <si>
    <t xml:space="preserve">Dec 7 13:24 2024</t>
  </si>
  <si>
    <t xml:space="preserve">Fe15-14_cpx_8_3</t>
  </si>
  <si>
    <t xml:space="preserve">Dec 7 13:28 2024</t>
  </si>
  <si>
    <t xml:space="preserve">Fe15-14_cpx_9_1</t>
  </si>
  <si>
    <t xml:space="preserve">Dec 7 13:32 2024</t>
  </si>
  <si>
    <t xml:space="preserve">Fe15-14_cpx_9_2</t>
  </si>
  <si>
    <t xml:space="preserve">Dec 7 13:36 2024</t>
  </si>
  <si>
    <t xml:space="preserve">Fe15-14_cpx_9_3</t>
  </si>
  <si>
    <t xml:space="preserve">Dec 7 13:39 2024</t>
  </si>
  <si>
    <t xml:space="preserve">Fe15-14_cpx_9_4</t>
  </si>
  <si>
    <t xml:space="preserve">Dec 7 13:43 2024</t>
  </si>
  <si>
    <t xml:space="preserve">Fe15-14_cpx_9_5</t>
  </si>
  <si>
    <t xml:space="preserve">Dec 7 13:47 2024</t>
  </si>
  <si>
    <t xml:space="preserve">Fe15-14_cpx_10_1</t>
  </si>
  <si>
    <t xml:space="preserve">Dec 7 13:51 2024</t>
  </si>
  <si>
    <t xml:space="preserve">Fe15-14_cpx_10_2</t>
  </si>
  <si>
    <t xml:space="preserve">Dec 7 13:55 2024</t>
  </si>
  <si>
    <t xml:space="preserve">Fe15-14_cpx_30_1</t>
  </si>
  <si>
    <t xml:space="preserve">Dec 7 14:02 2024</t>
  </si>
  <si>
    <t xml:space="preserve">Fe15-14_cpx_30_2</t>
  </si>
  <si>
    <t xml:space="preserve">Dec 7 14:06 2024</t>
  </si>
  <si>
    <t xml:space="preserve">Fe15-14_cpx_30_3</t>
  </si>
  <si>
    <t xml:space="preserve">Dec 7 14:10 2024</t>
  </si>
  <si>
    <t xml:space="preserve">Fe15-14_cpx_30_4</t>
  </si>
  <si>
    <t xml:space="preserve">Dec 7 14:14 2024</t>
  </si>
  <si>
    <t xml:space="preserve">Fe15-14_cpx_28_1</t>
  </si>
  <si>
    <t xml:space="preserve">Dec 7 14:18 2024</t>
  </si>
  <si>
    <t xml:space="preserve">Fe15-14_cpx_28_2</t>
  </si>
  <si>
    <t xml:space="preserve">Dec 7 14:22 2024</t>
  </si>
  <si>
    <t xml:space="preserve">Fe15-14_cpx_28_3</t>
  </si>
  <si>
    <t xml:space="preserve">Dec 7 14:25 2024</t>
  </si>
  <si>
    <t xml:space="preserve">Fe15-14_cpx_11_1</t>
  </si>
  <si>
    <t xml:space="preserve">Dec 7 14:29 2024</t>
  </si>
  <si>
    <t xml:space="preserve">Fe15-14_cpx_11_2</t>
  </si>
  <si>
    <t xml:space="preserve">Dec 7 14:33 2024</t>
  </si>
  <si>
    <t xml:space="preserve">Fe15-14_cpx_11_3</t>
  </si>
  <si>
    <t xml:space="preserve">Dec 7 14:37 2024</t>
  </si>
  <si>
    <t xml:space="preserve">Fe15-14_cpx_11_4</t>
  </si>
  <si>
    <t xml:space="preserve">Dec 7 14:41 2024</t>
  </si>
  <si>
    <t xml:space="preserve">Fe15-14_cpx_16_1</t>
  </si>
  <si>
    <t xml:space="preserve">Dec 7 14:45 2024</t>
  </si>
  <si>
    <t xml:space="preserve">Fe15-14_cpx_16_2</t>
  </si>
  <si>
    <t xml:space="preserve">Dec 7 14:48 2024</t>
  </si>
  <si>
    <t xml:space="preserve">Fe15-14_cpx_16_3</t>
  </si>
  <si>
    <t xml:space="preserve">Dec 7 14:52 2024</t>
  </si>
  <si>
    <t xml:space="preserve">Fe15-14_cpx_16_4</t>
  </si>
  <si>
    <t xml:space="preserve">Dec 7 14:56 2024</t>
  </si>
  <si>
    <t xml:space="preserve">Fe15-14_cpx_14_1</t>
  </si>
  <si>
    <t xml:space="preserve">Dec 7 15:00 2024</t>
  </si>
  <si>
    <t xml:space="preserve">Fe15-14_cpx_14_2</t>
  </si>
  <si>
    <t xml:space="preserve">Dec 7 15:04 2024</t>
  </si>
  <si>
    <t xml:space="preserve">Fe15-14_cpx_14_3</t>
  </si>
  <si>
    <t xml:space="preserve">Dec 7 15:08 2024</t>
  </si>
  <si>
    <t xml:space="preserve">Fe15-16-Cpx_29_1</t>
  </si>
  <si>
    <t xml:space="preserve">Fe15_16</t>
  </si>
  <si>
    <t xml:space="preserve">MS_091224_cpx</t>
  </si>
  <si>
    <t xml:space="preserve">Dec 10 00:27 2024</t>
  </si>
  <si>
    <t xml:space="preserve">Fe15-16-Cpx_29_2</t>
  </si>
  <si>
    <t xml:space="preserve">Dec 10 00:31 2024</t>
  </si>
  <si>
    <t xml:space="preserve">Fe15-16-Cpx_29_3</t>
  </si>
  <si>
    <t xml:space="preserve">Dec 10 00:35 2024</t>
  </si>
  <si>
    <t xml:space="preserve">Fe15-16-Cpx_29_4</t>
  </si>
  <si>
    <t xml:space="preserve">Dec 10 00:39 2024</t>
  </si>
  <si>
    <t xml:space="preserve">Fe15-16-Cpx_8_1</t>
  </si>
  <si>
    <t xml:space="preserve">Dec 10 00:42 2024</t>
  </si>
  <si>
    <t xml:space="preserve">Fe15-16-Cpx_8_2</t>
  </si>
  <si>
    <t xml:space="preserve">Dec 10 00:46 2024</t>
  </si>
  <si>
    <t xml:space="preserve">Fe15-16-Cpx_8_3</t>
  </si>
  <si>
    <t xml:space="preserve">Dec 10 00:50 2024</t>
  </si>
  <si>
    <t xml:space="preserve">Fe15-16-Cpx_8_4</t>
  </si>
  <si>
    <t xml:space="preserve">Dec 10 00:54 2024</t>
  </si>
  <si>
    <t xml:space="preserve">Fe15-16-Cpx_8_5</t>
  </si>
  <si>
    <t xml:space="preserve">Dec 10 00:58 2024</t>
  </si>
  <si>
    <t xml:space="preserve">Fe15-16-Cpx_9_2</t>
  </si>
  <si>
    <t xml:space="preserve">Dec 10 01:06 2024</t>
  </si>
  <si>
    <t xml:space="preserve">Fe15-16-Cpx_9_3</t>
  </si>
  <si>
    <t xml:space="preserve">Dec 10 01:09 2024</t>
  </si>
  <si>
    <t xml:space="preserve">Fe15-16-Cpx_9_4</t>
  </si>
  <si>
    <t xml:space="preserve">Dec 10 01:13 2024</t>
  </si>
  <si>
    <t xml:space="preserve">Fe15-16-Cpx_9_5</t>
  </si>
  <si>
    <t xml:space="preserve">Dec 10 01:17 2024</t>
  </si>
  <si>
    <t xml:space="preserve">Fe15-16-Cpx_9_6</t>
  </si>
  <si>
    <t xml:space="preserve">Dec 10 01:21 2024</t>
  </si>
  <si>
    <t xml:space="preserve">Fe15-16-Cpx_10_1</t>
  </si>
  <si>
    <t xml:space="preserve">Dec 10 01:25 2024</t>
  </si>
  <si>
    <t xml:space="preserve">Fe15-16-Cpx_10_2</t>
  </si>
  <si>
    <t xml:space="preserve">Dec 10 01:29 2024</t>
  </si>
  <si>
    <t xml:space="preserve">Fe15-16-Cpx_10_3</t>
  </si>
  <si>
    <t xml:space="preserve">Dec 10 01:32 2024</t>
  </si>
  <si>
    <t xml:space="preserve">Fe15-16-Cpx_10_4</t>
  </si>
  <si>
    <t xml:space="preserve">Dec 10 01:36 2024</t>
  </si>
  <si>
    <t xml:space="preserve">Fe15-16-Cpx_10_5</t>
  </si>
  <si>
    <t xml:space="preserve">Dec 10 01:40 2024</t>
  </si>
  <si>
    <t xml:space="preserve">Fe15-16-Cpx_10_6</t>
  </si>
  <si>
    <t xml:space="preserve">Dec 10 01:44 2024</t>
  </si>
  <si>
    <t xml:space="preserve">Fe15-16-Cpx_6_1</t>
  </si>
  <si>
    <t xml:space="preserve">Dec 10 01:48 2024</t>
  </si>
  <si>
    <t xml:space="preserve">Fe15-16-Cpx_6_2</t>
  </si>
  <si>
    <t xml:space="preserve">Dec 10 01:52 2024</t>
  </si>
  <si>
    <t xml:space="preserve">Fe15-16-Cpx_6_3</t>
  </si>
  <si>
    <t xml:space="preserve">Dec 10 01:55 2024</t>
  </si>
  <si>
    <t xml:space="preserve">Fe15-16-Cpx_6_4</t>
  </si>
  <si>
    <t xml:space="preserve">Dec 10 01:59 2024</t>
  </si>
  <si>
    <t xml:space="preserve">Fe15-16-Cpx_27_1</t>
  </si>
  <si>
    <t xml:space="preserve">Dec 10 02:03 2024</t>
  </si>
  <si>
    <t xml:space="preserve">Fe15-16-Cpx_27_2</t>
  </si>
  <si>
    <t xml:space="preserve">Dec 10 02:07 2024</t>
  </si>
  <si>
    <t xml:space="preserve">Fe15-16-Cpx_27_3</t>
  </si>
  <si>
    <t xml:space="preserve">Dec 10 02:11 2024</t>
  </si>
  <si>
    <t xml:space="preserve">Fe15-16-Cpx_27_4</t>
  </si>
  <si>
    <t xml:space="preserve">Dec 10 02:15 2024</t>
  </si>
  <si>
    <t xml:space="preserve">Fe15-16-Cpx_27_5</t>
  </si>
  <si>
    <t xml:space="preserve">Dec 10 02:19 2024</t>
  </si>
  <si>
    <t xml:space="preserve">Fe15-16-Cpx_26_1</t>
  </si>
  <si>
    <t xml:space="preserve">Dec 10 02:22 2024</t>
  </si>
  <si>
    <t xml:space="preserve">Fe15-16-Cpx_26_2</t>
  </si>
  <si>
    <t xml:space="preserve">Dec 10 02:26 2024</t>
  </si>
  <si>
    <t xml:space="preserve">Fe15-16-Cpx_26_3</t>
  </si>
  <si>
    <t xml:space="preserve">Dec 10 02:30 2024</t>
  </si>
  <si>
    <t xml:space="preserve">Fe15-16-Cpx_26_4</t>
  </si>
  <si>
    <t xml:space="preserve">Dec 10 02:34 2024</t>
  </si>
  <si>
    <t xml:space="preserve">Fe15-16-Cpx_25_1</t>
  </si>
  <si>
    <t xml:space="preserve">Dec 10 02:38 2024</t>
  </si>
  <si>
    <t xml:space="preserve">Fe15-16-Cpx_25_2</t>
  </si>
  <si>
    <t xml:space="preserve">Dec 10 02:41 2024</t>
  </si>
  <si>
    <t xml:space="preserve">Fe15-16-Cpx_25_3</t>
  </si>
  <si>
    <t xml:space="preserve">Dec 10 02:45 2024</t>
  </si>
  <si>
    <t xml:space="preserve">Fe15-16-Cpx_4_1</t>
  </si>
  <si>
    <t xml:space="preserve">Dec 10 03:32 2024</t>
  </si>
  <si>
    <t xml:space="preserve">Fe15-16-Cpx_4_2</t>
  </si>
  <si>
    <t xml:space="preserve">Dec 10 03:36 2024</t>
  </si>
  <si>
    <t xml:space="preserve">Fe15-16-Cpx_4_3</t>
  </si>
  <si>
    <t xml:space="preserve">Dec 10 03:39 2024</t>
  </si>
  <si>
    <t xml:space="preserve">Fe15-16-Cpx_4_4</t>
  </si>
  <si>
    <t xml:space="preserve">Dec 10 03:43 2024</t>
  </si>
  <si>
    <t xml:space="preserve">Fe15-16-Cpx_14_1</t>
  </si>
  <si>
    <t xml:space="preserve">Dec 10 04:03 2024</t>
  </si>
  <si>
    <t xml:space="preserve">Fe15-16-Cpx_14_2</t>
  </si>
  <si>
    <t xml:space="preserve">Dec 10 04:07 2024</t>
  </si>
  <si>
    <t xml:space="preserve">Fe15-16-Cpx_14_3</t>
  </si>
  <si>
    <t xml:space="preserve">Dec 10 04:11 2024</t>
  </si>
  <si>
    <t xml:space="preserve">Fe15-16-Cpx_14_4</t>
  </si>
  <si>
    <t xml:space="preserve">Dec 10 04:15 2024</t>
  </si>
  <si>
    <t xml:space="preserve">Fe15-16-Cpx_15_1</t>
  </si>
  <si>
    <t xml:space="preserve">Dec 10 04:19 2024</t>
  </si>
  <si>
    <t xml:space="preserve">Fe15-16-Cpx_15_2</t>
  </si>
  <si>
    <t xml:space="preserve">Dec 10 04:23 2024</t>
  </si>
  <si>
    <t xml:space="preserve">Fe15-16-Cpx_15_3</t>
  </si>
  <si>
    <t xml:space="preserve">Dec 10 04:26 2024</t>
  </si>
  <si>
    <t xml:space="preserve">Fe15-16-Cpx_15_4</t>
  </si>
  <si>
    <t xml:space="preserve">Dec 10 04:30 2024</t>
  </si>
  <si>
    <t xml:space="preserve">Fe15-16-Cpx_16_1</t>
  </si>
  <si>
    <t xml:space="preserve">Dec 10 04:34 2024</t>
  </si>
  <si>
    <t xml:space="preserve">Fe15-16-Cpx_16_2</t>
  </si>
  <si>
    <t xml:space="preserve">Dec 10 04:38 2024</t>
  </si>
  <si>
    <t xml:space="preserve">Fe15-16-Cpx_16_3</t>
  </si>
  <si>
    <t xml:space="preserve">Dec 10 04:42 2024</t>
  </si>
  <si>
    <t xml:space="preserve">Fe15-16-Cpx_16_4</t>
  </si>
  <si>
    <t xml:space="preserve">Dec 10 04:45 2024</t>
  </si>
  <si>
    <t xml:space="preserve">SiO2_Err</t>
  </si>
  <si>
    <t xml:space="preserve">TiO2_Err</t>
  </si>
  <si>
    <t xml:space="preserve">Al2O3_Err</t>
  </si>
  <si>
    <t xml:space="preserve">FeOt_Err</t>
  </si>
  <si>
    <t xml:space="preserve">MnO_Err</t>
  </si>
  <si>
    <t xml:space="preserve">MgO_Err</t>
  </si>
  <si>
    <t xml:space="preserve">CaO_Err</t>
  </si>
  <si>
    <t xml:space="preserve">Na2O_Err</t>
  </si>
  <si>
    <t xml:space="preserve">K2O_Err</t>
  </si>
  <si>
    <t xml:space="preserve">Cr2O3_Err</t>
  </si>
  <si>
    <t xml:space="preserve">Values are 1 sigma counting-statistic uncertainties reported per analysis by the probe software, as % relative to the measured concentration. 100 indicates the element was not detected.</t>
  </si>
  <si>
    <t xml:space="preserve">Secondary standard analyses, clinopyroxene sessions (6, 9 and 10 December 2024, JEOL 8600, Oxford RLAHA)</t>
  </si>
  <si>
    <t xml:space="preserve">Standard</t>
  </si>
  <si>
    <t xml:space="preserve">Label</t>
  </si>
  <si>
    <t xml:space="preserve">No.</t>
  </si>
  <si>
    <t xml:space="preserve">SiO2</t>
  </si>
  <si>
    <t xml:space="preserve">TiO2</t>
  </si>
  <si>
    <t xml:space="preserve">Al2O3</t>
  </si>
  <si>
    <t xml:space="preserve">FeO</t>
  </si>
  <si>
    <t xml:space="preserve">MnO</t>
  </si>
  <si>
    <t xml:space="preserve">MgO</t>
  </si>
  <si>
    <t xml:space="preserve">CaO</t>
  </si>
  <si>
    <t xml:space="preserve">Na2O</t>
  </si>
  <si>
    <t xml:space="preserve">K2O</t>
  </si>
  <si>
    <t xml:space="preserve">Cr2O3</t>
  </si>
  <si>
    <t xml:space="preserve">Augite</t>
  </si>
  <si>
    <t xml:space="preserve">Augite_1</t>
  </si>
  <si>
    <t xml:space="preserve">Dec 7 00:17 2024</t>
  </si>
  <si>
    <t xml:space="preserve">Augite_2</t>
  </si>
  <si>
    <t xml:space="preserve">Dec 7 00:21 2024</t>
  </si>
  <si>
    <t xml:space="preserve">Augite_3</t>
  </si>
  <si>
    <t xml:space="preserve">Dec 7 00:25 2024</t>
  </si>
  <si>
    <t xml:space="preserve">Augite_4</t>
  </si>
  <si>
    <t xml:space="preserve">Dec 7 00:28 2024</t>
  </si>
  <si>
    <t xml:space="preserve">Augite_5</t>
  </si>
  <si>
    <t xml:space="preserve">Dec 7 00:32 2024</t>
  </si>
  <si>
    <t xml:space="preserve">Augite_1_1</t>
  </si>
  <si>
    <t xml:space="preserve">Dec 7 11:47 2024</t>
  </si>
  <si>
    <t xml:space="preserve">Augite_1_2</t>
  </si>
  <si>
    <t xml:space="preserve">Dec 7 11:51 2024</t>
  </si>
  <si>
    <t xml:space="preserve">Augite_1_3</t>
  </si>
  <si>
    <t xml:space="preserve">Dec 7 11:55 2024</t>
  </si>
  <si>
    <t xml:space="preserve">Dec 7 15:24 2024</t>
  </si>
  <si>
    <t xml:space="preserve">Dec 7 15:28 2024</t>
  </si>
  <si>
    <t xml:space="preserve">Dec 7 15:32 2024</t>
  </si>
  <si>
    <t xml:space="preserve">Augite_Cr</t>
  </si>
  <si>
    <t xml:space="preserve">Augite-Cr_1</t>
  </si>
  <si>
    <t xml:space="preserve">Dec 7 00:36 2024</t>
  </si>
  <si>
    <t xml:space="preserve">Augite-Cr_2</t>
  </si>
  <si>
    <t xml:space="preserve">Dec 7 00:40 2024</t>
  </si>
  <si>
    <t xml:space="preserve">Augite-Cr_3</t>
  </si>
  <si>
    <t xml:space="preserve">Dec 7 00:44 2024</t>
  </si>
  <si>
    <t xml:space="preserve">Augite-Cr_4</t>
  </si>
  <si>
    <t xml:space="preserve">Dec 7 00:47 2024</t>
  </si>
  <si>
    <t xml:space="preserve">Augite-Cr_5</t>
  </si>
  <si>
    <t xml:space="preserve">Dec 7 00:51 2024</t>
  </si>
  <si>
    <t xml:space="preserve">Augite_Cr_1_1</t>
  </si>
  <si>
    <t xml:space="preserve">Dec 7 11:36 2024</t>
  </si>
  <si>
    <t xml:space="preserve">Augite_Cr_1_2</t>
  </si>
  <si>
    <t xml:space="preserve">Dec 7 11:40 2024</t>
  </si>
  <si>
    <t xml:space="preserve">Augite_Cr_1_3</t>
  </si>
  <si>
    <t xml:space="preserve">Dec 7 11:43 2024</t>
  </si>
  <si>
    <t xml:space="preserve">Augite_Cr_1</t>
  </si>
  <si>
    <t xml:space="preserve">Dec 7 15:13 2024</t>
  </si>
  <si>
    <t xml:space="preserve">Augite_Cr_2</t>
  </si>
  <si>
    <t xml:space="preserve">Dec 7 15:16 2024</t>
  </si>
  <si>
    <t xml:space="preserve">Augite_Cr_3</t>
  </si>
  <si>
    <t xml:space="preserve">Dec 7 15:20 2024</t>
  </si>
  <si>
    <t xml:space="preserve">Diopside</t>
  </si>
  <si>
    <t xml:space="preserve">Diopside_1</t>
  </si>
  <si>
    <t xml:space="preserve">Dec 7 00:55 2024</t>
  </si>
  <si>
    <t xml:space="preserve">Diopside_2</t>
  </si>
  <si>
    <t xml:space="preserve">Dec 7 00:59 2024</t>
  </si>
  <si>
    <t xml:space="preserve">Diopside_3</t>
  </si>
  <si>
    <t xml:space="preserve">Dec 7 01:03 2024</t>
  </si>
  <si>
    <t xml:space="preserve">Dec 7 15:36 2024</t>
  </si>
  <si>
    <t xml:space="preserve">Dec 7 15:39 2024</t>
  </si>
  <si>
    <t xml:space="preserve">Dec 7 15:43 2024</t>
  </si>
  <si>
    <t xml:space="preserve">Dec 10 00:07 2024</t>
  </si>
  <si>
    <t xml:space="preserve">Dec 10 00:11 2024</t>
  </si>
  <si>
    <t xml:space="preserve">Dec 10 05:02 2024</t>
  </si>
  <si>
    <t xml:space="preserve">Dec 10 05:05 2024</t>
  </si>
  <si>
    <t xml:space="preserve">Dec 10 05:09 2024</t>
  </si>
  <si>
    <t xml:space="preserve">Dec 10 09:06 2024</t>
  </si>
  <si>
    <t xml:space="preserve">Dec 10 09:10 2024</t>
  </si>
  <si>
    <t xml:space="preserve">Dec 10 09:14 2024</t>
  </si>
  <si>
    <t xml:space="preserve">Dec 9 23:56 2024</t>
  </si>
  <si>
    <t xml:space="preserve">Dec 9 23:59 2024</t>
  </si>
  <si>
    <t xml:space="preserve">Dec 10 00:03 2024</t>
  </si>
  <si>
    <t xml:space="preserve">Dec 10 04:50 2024</t>
  </si>
  <si>
    <t xml:space="preserve">Dec 10 04:54 2024</t>
  </si>
  <si>
    <t xml:space="preserve">Dec 10 04:58 2024</t>
  </si>
  <si>
    <t xml:space="preserve">Dec 10 08:51 2024</t>
  </si>
  <si>
    <t xml:space="preserve">Dec 10 08:54 2024</t>
  </si>
  <si>
    <t xml:space="preserve">Dec 10 08:58 2024</t>
  </si>
  <si>
    <t xml:space="preserve">Augite_Cr_4</t>
  </si>
  <si>
    <t xml:space="preserve">Dec 10 09:02 2024</t>
  </si>
  <si>
    <t xml:space="preserve">Dec 10 00:15 2024</t>
  </si>
  <si>
    <t xml:space="preserve">Dec 10 00:19 2024</t>
  </si>
  <si>
    <t xml:space="preserve">Dec 10 00:23 2024</t>
  </si>
  <si>
    <t xml:space="preserve">Dec 10 05:17 2024</t>
  </si>
  <si>
    <t xml:space="preserve">Dec 10 05:21 2024</t>
  </si>
  <si>
    <t xml:space="preserve">Dec 10 05:25 2024</t>
  </si>
  <si>
    <t xml:space="preserve">Dec 10 09:18 2024</t>
  </si>
  <si>
    <t xml:space="preserve">Dec 10 09:21 2024</t>
  </si>
  <si>
    <t xml:space="preserve">Dec 10 09:25 2024</t>
  </si>
  <si>
    <t xml:space="preserve">Dec 11 00:14 2024</t>
  </si>
  <si>
    <t xml:space="preserve">Dec 11 00:18 2024</t>
  </si>
  <si>
    <t xml:space="preserve">Dec 11 00:21 2024</t>
  </si>
  <si>
    <t xml:space="preserve">Dec 11 05:30 2024</t>
  </si>
  <si>
    <t xml:space="preserve">Dec 11 05:34 2024</t>
  </si>
  <si>
    <t xml:space="preserve">Dec 11 05:38 2024</t>
  </si>
  <si>
    <t xml:space="preserve">Dec 11 10:21 2024</t>
  </si>
  <si>
    <t xml:space="preserve">Dec 11 10:24 2024</t>
  </si>
  <si>
    <t xml:space="preserve">Dec 11 10:28 2024</t>
  </si>
  <si>
    <t xml:space="preserve">Dec 11 00:02 2024</t>
  </si>
  <si>
    <t xml:space="preserve">Dec 11 00:06 2024</t>
  </si>
  <si>
    <t xml:space="preserve">Dec 11 00:10 2024</t>
  </si>
  <si>
    <t xml:space="preserve">Dec 11 05:19 2024</t>
  </si>
  <si>
    <t xml:space="preserve">Dec 11 05:23 2024</t>
  </si>
  <si>
    <t xml:space="preserve">Dec 11 05:27 2024</t>
  </si>
  <si>
    <t xml:space="preserve">Dec 11 10:09 2024</t>
  </si>
  <si>
    <t xml:space="preserve">Dec 11 10:13 2024</t>
  </si>
  <si>
    <t xml:space="preserve">Dec 11 10:17 2024</t>
  </si>
  <si>
    <t xml:space="preserve">Dec 11 00:25 2024</t>
  </si>
  <si>
    <t xml:space="preserve">Dec 11 00:29 2024</t>
  </si>
  <si>
    <t xml:space="preserve">Dec 11 00:33 2024</t>
  </si>
  <si>
    <t xml:space="preserve">Dec 11 05:42 2024</t>
  </si>
  <si>
    <t xml:space="preserve">Dec 11 05:46 2024</t>
  </si>
  <si>
    <t xml:space="preserve">Dec 11 05:50 2024</t>
  </si>
  <si>
    <t xml:space="preserve">Dec 11 10:32 2024</t>
  </si>
  <si>
    <t xml:space="preserve">Dec 11 10:36 2024</t>
  </si>
  <si>
    <t xml:space="preserve">Dec 11 10:40 2024</t>
  </si>
  <si>
    <t xml:space="preserve">Summary by standard and session</t>
  </si>
  <si>
    <t xml:space="preserve">Statistic</t>
  </si>
  <si>
    <t xml:space="preserve">n</t>
  </si>
  <si>
    <t xml:space="preserve">Mean</t>
  </si>
  <si>
    <t xml:space="preserve">SD</t>
  </si>
  <si>
    <t xml:space="preserve">RSD (%)</t>
  </si>
  <si>
    <t xml:space="preserve">Standards were analysed at the start and end of each session under the clinopyroxene conditions (15 kV, 35 nA, 3 um). Augite, Augite_Cr and Diopside are the in-house Oxford secondary standards; add preferred values for each if an accuracy comparison is wanted. RSD is the within-session reproducibility.</t>
  </si>
  <si>
    <t xml:space="preserve">Sheet</t>
  </si>
  <si>
    <t xml:space="preserve">Heading</t>
  </si>
  <si>
    <t xml:space="preserve">Description</t>
  </si>
  <si>
    <t xml:space="preserve">CPX</t>
  </si>
  <si>
    <t xml:space="preserve">Unique analysis identifier: sample_phase_crystal number_spot number</t>
  </si>
  <si>
    <t xml:space="preserve">Eruption year</t>
  </si>
  <si>
    <t xml:space="preserve">Sample code (Table 4.1)</t>
  </si>
  <si>
    <t xml:space="preserve">Probe analysis number within the session</t>
  </si>
  <si>
    <t xml:space="preserve">Date and time of analysis</t>
  </si>
  <si>
    <t xml:space="preserve">Analytical total (wt%)</t>
  </si>
  <si>
    <t xml:space="preserve">EPMA session file (MS_ddmmyy_cpx)</t>
  </si>
  <si>
    <t xml:space="preserve">Analysis position in the crystal: C = core, M = mantle, R = rim</t>
  </si>
  <si>
    <t xml:space="preserve">Sector-zone class of the analysed domain: N = non-sector-zoned; L = high-Al sector (prism); D = low-Al sector (hourglass); R = rim domain not assigned to a sector</t>
  </si>
  <si>
    <t xml:space="preserve">Textural group of the host crystal (see Section 4.5.1)</t>
  </si>
  <si>
    <t xml:space="preserve">Textural subgroup within Group (see Section 4.5.1)</t>
  </si>
  <si>
    <t xml:space="preserve">SiO2 (wt%), EPMA clinopyroxene analysis</t>
  </si>
  <si>
    <t xml:space="preserve">TiO2 (wt%), EPMA clinopyroxene analysis</t>
  </si>
  <si>
    <t xml:space="preserve">Al2O3 (wt%), EPMA clinopyroxene analysis</t>
  </si>
  <si>
    <t xml:space="preserve">MnO (wt%), EPMA clinopyroxene analysis</t>
  </si>
  <si>
    <t xml:space="preserve">MgO (wt%), EPMA clinopyroxene analysis</t>
  </si>
  <si>
    <t xml:space="preserve">CaO (wt%), EPMA clinopyroxene analysis</t>
  </si>
  <si>
    <t xml:space="preserve">Na2O (wt%), EPMA clinopyroxene analysis</t>
  </si>
  <si>
    <t xml:space="preserve">K2O (wt%), EPMA clinopyroxene analysis</t>
  </si>
  <si>
    <t xml:space="preserve">Cr2O3 (wt%), EPMA clinopyroxene analysis</t>
  </si>
  <si>
    <t xml:space="preserve">FeO total (wt%), all Fe as FeO</t>
  </si>
  <si>
    <t xml:space="preserve">Sum of oxygen from molar proportions, used to normalise cations to 6 oxygens</t>
  </si>
  <si>
    <t xml:space="preserve">Si, Ti, Al, Fe, Mg, Ca, Na, K, Cr, Mn</t>
  </si>
  <si>
    <t xml:space="preserve">Cations per formula unit on a 6-oxygen basis, all Fe as Fe2+</t>
  </si>
  <si>
    <t xml:space="preserve">En, Fs, Wo</t>
  </si>
  <si>
    <t xml:space="preserve">Enstatite, ferrosilite and wollastonite components, Mg, Fe and Ca /(Mg + Fe + Ca)</t>
  </si>
  <si>
    <t xml:space="preserve">Mg# = 100 x Mg/(Mg + Fe total), cation basis</t>
  </si>
  <si>
    <t xml:space="preserve">Al_IV, Al_VI</t>
  </si>
  <si>
    <t xml:space="preserve">Tetrahedral and octahedral Al per formula unit (Al_IV = 2 - Si; Al_VI = Al - Al_IV)</t>
  </si>
  <si>
    <t xml:space="preserve">Jd, CaTs, CaTi</t>
  </si>
  <si>
    <t xml:space="preserve">Jadeite, Ca-Tschermak and Ca-Ti-Tschermak components (Putirka, 2008 scheme), calculated for analyses used in clinopyroxene-liquid barometry</t>
  </si>
  <si>
    <t xml:space="preserve">Clinopyroxene-only machine learning pressure (kbar), Agreda-Lopez et al. (2024); median of the Monte Carlo distribution</t>
  </si>
  <si>
    <t xml:space="preserve">Percentile_16_kbar, Percentile_84_kbar</t>
  </si>
  <si>
    <t xml:space="preserve">16th and 84th percentiles of the clinopyroxene-only pressure distribution (kbar)</t>
  </si>
  <si>
    <t xml:space="preserve">Clinopyroxene-only machine learning temperature (degrees C), Agreda-Lopez et al. (2024)</t>
  </si>
  <si>
    <t xml:space="preserve">Percentile_16_DegC, Percentile_84_DegC</t>
  </si>
  <si>
    <t xml:space="preserve">16th and 84th percentiles of the clinopyroxene-only temperature distribution</t>
  </si>
  <si>
    <t xml:space="preserve">Depth_km, Depth_16_km, Depth_84_km</t>
  </si>
  <si>
    <t xml:space="preserve">Depth converted from the clinopyroxene-only pressure and its percentiles using the crustal density model of Chapter 3</t>
  </si>
  <si>
    <t xml:space="preserve">Mean_P_kbar_calc_CPXLiq, Std_P_kbar_calc_CPXLiq</t>
  </si>
  <si>
    <t xml:space="preserve">Mean and standard deviation of clinopyroxene-liquid pressure (kbar) from the Neave and Putirka (2017) barometer over all equilibrium melt matches (Thermobar)</t>
  </si>
  <si>
    <t xml:space="preserve">P_low_CPXLiq, P_high_CPXLiq</t>
  </si>
  <si>
    <t xml:space="preserve">Lower and upper bound of the clinopyroxene-liquid pressure from Monte Carlo propagation of analytical uncertainty</t>
  </si>
  <si>
    <t xml:space="preserve">Mean_T_K_calc_CPXLiq, Std_T_K_calc_CPXLiq</t>
  </si>
  <si>
    <t xml:space="preserve">Mean and standard deviation of clinopyroxene-liquid temperature (K) over all equilibrium matches</t>
  </si>
  <si>
    <t xml:space="preserve">Number of glass analyses passing the equilibrium tests (KD(Fe-Mg), DiHd, EnFs, CaTs) for this clinopyroxene</t>
  </si>
  <si>
    <t xml:space="preserve">Number of Monte Carlo clinopyroxene-liquid pairs</t>
  </si>
  <si>
    <t xml:space="preserve">Mean_depth_km_calc_CPXLiq, Std_depth_km_calc_CPXLiq, Depth_low_CPXLiq, Depth_high_CPXLiq</t>
  </si>
  <si>
    <t xml:space="preserve">Depth equivalents of the clinopyroxene-liquid pressure statistics</t>
  </si>
  <si>
    <t xml:space="preserve">Pressure_kbar_median_CLML, Pressure_kbar_lower_lim_CLML, Pressure_kbar_upper_lim_CLML</t>
  </si>
  <si>
    <t xml:space="preserve">Median and 2.5 to 97.5 percentile limits of clinopyroxene-liquid machine learning pressure (kbar), Agreda-Lopez et al. (2024), over equilibrium matches</t>
  </si>
  <si>
    <t xml:space="preserve">n_matches_P_CLML, n_matches_T_CLML</t>
  </si>
  <si>
    <t xml:space="preserve">Number of equilibrium matches used for the CLML pressure and temperature</t>
  </si>
  <si>
    <t xml:space="preserve">Temperature_C_median_CLML, Temperature_C_lower_lim_CLML, Temperature_C_upper_lim_CLML</t>
  </si>
  <si>
    <t xml:space="preserve">Median and 2.5 to 97.5 percentile limits of clinopyroxene-liquid machine learning temperature</t>
  </si>
  <si>
    <t xml:space="preserve">Depth_km_CLML, Depth_low_CLML, Depth_high_CLML</t>
  </si>
  <si>
    <t xml:space="preserve">Depth equivalents of the CLML pressure statistics</t>
  </si>
  <si>
    <t xml:space="preserve">SiO2 (wt%) of the matched equilibrium glass used in the clinopyroxene-liquid calculation (FeOt = total Fe as FeO)</t>
  </si>
  <si>
    <t xml:space="preserve">TiO2 (wt%) of the matched equilibrium glass used in the clinopyroxene-liquid calculation (FeOt = total Fe as FeO)</t>
  </si>
  <si>
    <t xml:space="preserve">Al2O3 (wt%) of the matched equilibrium glass used in the clinopyroxene-liquid calculation (FeOt = total Fe as FeO)</t>
  </si>
  <si>
    <t xml:space="preserve">FeOt (wt%) of the matched equilibrium glass used in the clinopyroxene-liquid calculation (FeOt = total Fe as FeO)</t>
  </si>
  <si>
    <t xml:space="preserve">MnO (wt%) of the matched equilibrium glass used in the clinopyroxene-liquid calculation (FeOt = total Fe as FeO)</t>
  </si>
  <si>
    <t xml:space="preserve">MgO (wt%) of the matched equilibrium glass used in the clinopyroxene-liquid calculation (FeOt = total Fe as FeO)</t>
  </si>
  <si>
    <t xml:space="preserve">CaO (wt%) of the matched equilibrium glass used in the clinopyroxene-liquid calculation (FeOt = total Fe as FeO)</t>
  </si>
  <si>
    <t xml:space="preserve">Na2O (wt%) of the matched equilibrium glass used in the clinopyroxene-liquid calculation (FeOt = total Fe as FeO)</t>
  </si>
  <si>
    <t xml:space="preserve">K2O (wt%) of the matched equilibrium glass used in the clinopyroxene-liquid calculation (FeOt = total Fe as FeO)</t>
  </si>
  <si>
    <t xml:space="preserve">P2O5 (wt%) of the matched equilibrium glass used in the clinopyroxene-liquid calculation (FeOt = total Fe as FeO)</t>
  </si>
  <si>
    <t xml:space="preserve">Fe3+/FeT assumed for the melt in the clinopyroxene-liquid calculation (0.15, i.e. FeO/FeO* = 0.85)</t>
  </si>
  <si>
    <t xml:space="preserve">Count</t>
  </si>
  <si>
    <t xml:space="preserve">Sample_ID, Eruption, Sample, Session, Number</t>
  </si>
  <si>
    <t xml:space="preserve">As CPX</t>
  </si>
  <si>
    <t xml:space="preserve">1 sigma counting-statistic uncertainty on SiO2 (% relative to measured concentration)</t>
  </si>
  <si>
    <t xml:space="preserve">1 sigma counting-statistic uncertainty on TiO2 (% relative to measured concentration)</t>
  </si>
  <si>
    <t xml:space="preserve">1 sigma counting-statistic uncertainty on Al2O3 (% relative to measured concentration)</t>
  </si>
  <si>
    <t xml:space="preserve">1 sigma counting-statistic uncertainty on FeOt (% relative to measured concentration)</t>
  </si>
  <si>
    <t xml:space="preserve">1 sigma counting-statistic uncertainty on MnO (% relative to measured concentration)</t>
  </si>
  <si>
    <t xml:space="preserve">1 sigma counting-statistic uncertainty on MgO (% relative to measured concentration)</t>
  </si>
  <si>
    <t xml:space="preserve">1 sigma counting-statistic uncertainty on CaO (% relative to measured concentration)</t>
  </si>
  <si>
    <t xml:space="preserve">1 sigma counting-statistic uncertainty on Na2O (% relative to measured concentration)</t>
  </si>
  <si>
    <t xml:space="preserve">1 sigma counting-statistic uncertainty on K2O (% relative to measured concentration)</t>
  </si>
  <si>
    <t xml:space="preserve">1 sigma counting-statistic uncertainty on Cr2O3 (% relative to measured concentration)</t>
  </si>
  <si>
    <t xml:space="preserve">STD</t>
  </si>
  <si>
    <t xml:space="preserve">EPMA session file</t>
  </si>
  <si>
    <t xml:space="preserve">Secondary standard analysed</t>
  </si>
  <si>
    <t xml:space="preserve">Label, No., Date</t>
  </si>
  <si>
    <t xml:space="preserve">Probe label, analysis number and time</t>
  </si>
  <si>
    <t xml:space="preserve">SiO2 ... Cr2O3</t>
  </si>
  <si>
    <t xml:space="preserve">Measured oxide concentration (wt%); FeO is total Fe as FeO</t>
  </si>
  <si>
    <t xml:space="preserve">Mean, SD, RSD (%)</t>
  </si>
  <si>
    <t xml:space="preserve">Per-session mean, standard deviation and relative standard deviation of the standard analyses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</si>
</sst>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F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1" min="11" style="0" width="19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7" min="16" style="0" width="1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3" min="21" style="0" width="19"/>
    <col collapsed="false" customWidth="true" hidden="false" outlineLevel="0" max="24" min="24" style="0" width="22"/>
    <col collapsed="false" customWidth="true" hidden="false" outlineLevel="0" max="25" min="25" style="0" width="21"/>
    <col collapsed="false" customWidth="true" hidden="false" outlineLevel="0" max="28" min="26" style="0" width="20"/>
    <col collapsed="false" customWidth="true" hidden="false" outlineLevel="0" max="29" min="29" style="0" width="21"/>
    <col collapsed="false" customWidth="true" hidden="false" outlineLevel="0" max="31" min="30" style="0" width="23"/>
    <col collapsed="false" customWidth="true" hidden="false" outlineLevel="0" max="32" min="32" style="0" width="22"/>
    <col collapsed="false" customWidth="true" hidden="false" outlineLevel="0" max="35" min="33" style="0" width="20"/>
    <col collapsed="false" customWidth="true" hidden="false" outlineLevel="0" max="36" min="36" style="0" width="19"/>
    <col collapsed="false" customWidth="true" hidden="false" outlineLevel="0" max="39" min="37" style="0" width="21"/>
    <col collapsed="false" customWidth="true" hidden="false" outlineLevel="0" max="40" min="40" style="0" width="23"/>
    <col collapsed="false" customWidth="true" hidden="false" outlineLevel="0" max="41" min="41" style="0" width="21"/>
    <col collapsed="false" customWidth="true" hidden="false" outlineLevel="0" max="42" min="42" style="0" width="22"/>
    <col collapsed="false" customWidth="true" hidden="false" outlineLevel="0" max="43" min="43" style="0" width="20"/>
    <col collapsed="false" customWidth="true" hidden="false" outlineLevel="0" max="44" min="44" style="0" width="21"/>
    <col collapsed="false" customWidth="true" hidden="false" outlineLevel="0" max="45" min="45" style="0" width="19"/>
    <col collapsed="false" customWidth="true" hidden="false" outlineLevel="0" max="47" min="46" style="0" width="20"/>
    <col collapsed="false" customWidth="true" hidden="false" outlineLevel="0" max="48" min="48" style="0" width="21"/>
    <col collapsed="false" customWidth="true" hidden="false" outlineLevel="0" max="49" min="49" style="0" width="20"/>
    <col collapsed="false" customWidth="true" hidden="false" outlineLevel="0" max="50" min="50" style="0" width="21"/>
    <col collapsed="false" customWidth="true" hidden="false" outlineLevel="0" max="52" min="51" style="0" width="24"/>
    <col collapsed="false" customWidth="true" hidden="false" outlineLevel="0" max="53" min="53" style="0" width="21"/>
    <col collapsed="false" customWidth="true" hidden="false" outlineLevel="0" max="54" min="54" style="0" width="20"/>
    <col collapsed="false" customWidth="true" hidden="false" outlineLevel="0" max="55" min="55" style="0" width="22"/>
    <col collapsed="false" customWidth="true" hidden="false" outlineLevel="0" max="56" min="56" style="0" width="21"/>
    <col collapsed="false" customWidth="true" hidden="false" outlineLevel="0" max="57" min="57" style="0" width="18"/>
    <col collapsed="false" customWidth="true" hidden="false" outlineLevel="0" max="58" min="58" style="0" width="19"/>
    <col collapsed="false" customWidth="true" hidden="false" outlineLevel="0" max="60" min="59" style="0" width="24"/>
    <col collapsed="false" customWidth="true" hidden="false" outlineLevel="0" max="61" min="61" style="0" width="21"/>
    <col collapsed="false" customWidth="true" hidden="false" outlineLevel="0" max="62" min="62" style="0" width="19"/>
    <col collapsed="false" customWidth="true" hidden="false" outlineLevel="0" max="65" min="63" style="0" width="24"/>
    <col collapsed="false" customWidth="true" hidden="false" outlineLevel="0" max="66" min="66" style="0" width="18"/>
    <col collapsed="false" customWidth="true" hidden="false" outlineLevel="0" max="69" min="67" style="0" width="24"/>
    <col collapsed="false" customWidth="true" hidden="false" outlineLevel="0" max="70" min="70" style="0" width="18"/>
    <col collapsed="false" customWidth="true" hidden="false" outlineLevel="0" max="72" min="71" style="0" width="21"/>
    <col collapsed="false" customWidth="true" hidden="false" outlineLevel="0" max="73" min="73" style="0" width="20"/>
    <col collapsed="false" customWidth="true" hidden="false" outlineLevel="0" max="75" min="74" style="0" width="10"/>
    <col collapsed="false" customWidth="true" hidden="false" outlineLevel="0" max="76" min="76" style="0" width="11"/>
    <col collapsed="false" customWidth="true" hidden="false" outlineLevel="0" max="77" min="77" style="0" width="10"/>
    <col collapsed="false" customWidth="true" hidden="false" outlineLevel="0" max="80" min="78" style="0" width="9"/>
    <col collapsed="false" customWidth="true" hidden="false" outlineLevel="0" max="81" min="81" style="0" width="10"/>
    <col collapsed="false" customWidth="true" hidden="false" outlineLevel="0" max="82" min="82" style="0" width="9"/>
    <col collapsed="false" customWidth="true" hidden="false" outlineLevel="0" max="83" min="83" style="0" width="10"/>
    <col collapsed="false" customWidth="true" hidden="false" outlineLevel="0" max="84" min="8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customFormat="false" ht="15" hidden="false" customHeight="false" outlineLevel="0" collapsed="false">
      <c r="A2" s="2" t="s">
        <v>84</v>
      </c>
      <c r="B2" s="2" t="n">
        <v>2009</v>
      </c>
      <c r="C2" s="2" t="s">
        <v>85</v>
      </c>
      <c r="D2" s="2" t="s">
        <v>86</v>
      </c>
      <c r="E2" s="2" t="n">
        <v>92</v>
      </c>
      <c r="F2" s="2" t="s">
        <v>87</v>
      </c>
      <c r="G2" s="2" t="s">
        <v>88</v>
      </c>
      <c r="H2" s="2" t="s">
        <v>89</v>
      </c>
      <c r="I2" s="2" t="n">
        <v>1</v>
      </c>
      <c r="J2" s="2" t="s">
        <v>90</v>
      </c>
      <c r="K2" s="2" t="n">
        <v>50.5760437330262</v>
      </c>
      <c r="L2" s="2" t="n">
        <v>1.1143</v>
      </c>
      <c r="M2" s="2" t="n">
        <v>2.51</v>
      </c>
      <c r="N2" s="2" t="n">
        <v>7.24</v>
      </c>
      <c r="O2" s="2" t="n">
        <v>0.1803</v>
      </c>
      <c r="P2" s="2" t="n">
        <v>17.0281167334809</v>
      </c>
      <c r="Q2" s="2" t="n">
        <v>17.4161055244813</v>
      </c>
      <c r="R2" s="2" t="n">
        <v>0.2114</v>
      </c>
      <c r="S2" s="2" t="n">
        <v>0</v>
      </c>
      <c r="T2" s="2" t="n">
        <v>0.2966</v>
      </c>
      <c r="U2" s="2" t="n">
        <v>96.5728659909883</v>
      </c>
      <c r="V2" s="2" t="n">
        <v>2.63091480271684</v>
      </c>
      <c r="W2" s="2" t="n">
        <v>1.91968725897563</v>
      </c>
      <c r="X2" s="2" t="n">
        <v>0.0318189431109692</v>
      </c>
      <c r="Y2" s="2" t="n">
        <v>0.11228302303939</v>
      </c>
      <c r="Z2" s="2" t="n">
        <v>0.229822491171507</v>
      </c>
      <c r="AA2" s="2" t="n">
        <v>0.963524882352163</v>
      </c>
      <c r="AB2" s="2" t="n">
        <v>0.708289398732139</v>
      </c>
      <c r="AC2" s="2" t="n">
        <v>0.0155573233973672</v>
      </c>
      <c r="AD2" s="2" t="n">
        <v>0</v>
      </c>
      <c r="AE2" s="2" t="n">
        <v>0.00890042186556723</v>
      </c>
      <c r="AF2" s="2" t="n">
        <v>0.00579635706030555</v>
      </c>
      <c r="AG2" s="2" t="n">
        <v>0.506681873431163</v>
      </c>
      <c r="AH2" s="2" t="n">
        <v>0.120855094161269</v>
      </c>
      <c r="AI2" s="2" t="n">
        <v>0.372463032407568</v>
      </c>
      <c r="AJ2" s="2" t="n">
        <v>80.7413586127151</v>
      </c>
      <c r="AK2" s="2" t="n">
        <v>0.0803055522290859</v>
      </c>
      <c r="AL2" s="2" t="n">
        <v>0.031978451917202</v>
      </c>
      <c r="AM2" s="2" t="n">
        <v>0.0155574844354079</v>
      </c>
      <c r="AN2" s="2" t="n">
        <v>0.0164209674817941</v>
      </c>
      <c r="AO2" s="2" t="n">
        <v>0.0319422923736459</v>
      </c>
      <c r="AP2" s="2" t="n">
        <v>0.00610151837742667</v>
      </c>
      <c r="AQ2" s="2" t="n">
        <v>0</v>
      </c>
      <c r="AR2" s="2" t="n">
        <v>0.485065859064225</v>
      </c>
      <c r="AS2" s="2" t="n">
        <v>1148.33471679688</v>
      </c>
      <c r="AT2" s="2" t="n">
        <v>1142.13060913086</v>
      </c>
      <c r="AU2" s="2" t="n">
        <v>1151.03649291992</v>
      </c>
      <c r="AV2" s="2" t="n">
        <v>0.0214512004388412</v>
      </c>
      <c r="AW2" s="2" t="n">
        <v>0</v>
      </c>
      <c r="AX2" s="2" t="n">
        <v>1.69831380058873</v>
      </c>
      <c r="AY2" s="2" t="n">
        <v>1.37689608648946</v>
      </c>
      <c r="AZ2" s="2" t="n">
        <v>0.20076594155518</v>
      </c>
      <c r="BA2" s="2" t="n">
        <v>0.634767040990706</v>
      </c>
      <c r="BB2" s="2" t="n">
        <v>2.03201718082022</v>
      </c>
      <c r="BC2" s="2" t="n">
        <v>1456.25858547121</v>
      </c>
      <c r="BD2" s="2" t="n">
        <v>3.88208021807535</v>
      </c>
      <c r="BE2" s="2" t="n">
        <v>21</v>
      </c>
      <c r="BF2" s="2" t="n">
        <v>21</v>
      </c>
      <c r="BG2" s="2" t="n">
        <v>4.78358491264868</v>
      </c>
      <c r="BH2" s="2" t="n">
        <v>0.704651672926214</v>
      </c>
      <c r="BI2" s="2" t="n">
        <v>2.21956868477048</v>
      </c>
      <c r="BJ2" s="2" t="n">
        <v>7.01925766320442</v>
      </c>
      <c r="BK2" s="2" t="n">
        <v>0.0472327474592908</v>
      </c>
      <c r="BL2" s="2" t="n">
        <v>0</v>
      </c>
      <c r="BM2" s="2" t="n">
        <v>0.394744936441726</v>
      </c>
      <c r="BN2" s="2" t="n">
        <v>21000</v>
      </c>
      <c r="BO2" s="2" t="n">
        <v>1162.89343261719</v>
      </c>
      <c r="BP2" s="2" t="n">
        <v>1153.78653869629</v>
      </c>
      <c r="BQ2" s="2" t="n">
        <v>1165.43656005859</v>
      </c>
      <c r="BR2" s="2" t="n">
        <v>21000</v>
      </c>
      <c r="BS2" s="2" t="n">
        <v>0.165998019539414</v>
      </c>
      <c r="BT2" s="2" t="n">
        <v>0</v>
      </c>
      <c r="BU2" s="2" t="n">
        <v>1.38316226802062</v>
      </c>
      <c r="BV2" s="2" t="n">
        <v>48.47</v>
      </c>
      <c r="BW2" s="2" t="n">
        <v>3.55</v>
      </c>
      <c r="BX2" s="2" t="n">
        <v>13.66</v>
      </c>
      <c r="BY2" s="2" t="n">
        <v>12.22</v>
      </c>
      <c r="BZ2" s="2" t="n">
        <v>0.19</v>
      </c>
      <c r="CA2" s="2" t="n">
        <v>6.53</v>
      </c>
      <c r="CB2" s="2" t="n">
        <v>11.51</v>
      </c>
      <c r="CC2" s="2" t="n">
        <v>2.99</v>
      </c>
      <c r="CD2" s="2" t="n">
        <v>0.48</v>
      </c>
      <c r="CE2" s="2" t="n">
        <v>0.41</v>
      </c>
      <c r="CF2" s="2" t="n">
        <v>0.15</v>
      </c>
    </row>
    <row r="3" customFormat="false" ht="15" hidden="false" customHeight="false" outlineLevel="0" collapsed="false">
      <c r="A3" s="2" t="s">
        <v>91</v>
      </c>
      <c r="B3" s="2" t="n">
        <v>2009</v>
      </c>
      <c r="C3" s="2" t="s">
        <v>85</v>
      </c>
      <c r="D3" s="2" t="s">
        <v>86</v>
      </c>
      <c r="E3" s="2" t="n">
        <v>93</v>
      </c>
      <c r="F3" s="2" t="s">
        <v>92</v>
      </c>
      <c r="G3" s="2" t="s">
        <v>93</v>
      </c>
      <c r="H3" s="2" t="s">
        <v>94</v>
      </c>
      <c r="I3" s="2" t="n">
        <v>1</v>
      </c>
      <c r="J3" s="2" t="s">
        <v>90</v>
      </c>
      <c r="K3" s="2" t="n">
        <v>49.0864408529291</v>
      </c>
      <c r="L3" s="2" t="n">
        <v>1.86</v>
      </c>
      <c r="M3" s="2" t="n">
        <v>5.54</v>
      </c>
      <c r="N3" s="2" t="n">
        <v>6.62</v>
      </c>
      <c r="O3" s="2" t="n">
        <v>0.1593</v>
      </c>
      <c r="P3" s="2" t="n">
        <v>14.5364374196748</v>
      </c>
      <c r="Q3" s="2" t="n">
        <v>19.2151318094277</v>
      </c>
      <c r="R3" s="2" t="n">
        <v>0.333</v>
      </c>
      <c r="S3" s="2" t="n">
        <v>0.003</v>
      </c>
      <c r="T3" s="2" t="n">
        <v>0.6567</v>
      </c>
      <c r="U3" s="2" t="n">
        <v>98.0100100820316</v>
      </c>
      <c r="V3" s="2" t="n">
        <v>2.6130125021608</v>
      </c>
      <c r="W3" s="2" t="n">
        <v>1.87591203142425</v>
      </c>
      <c r="X3" s="2" t="n">
        <v>0.0534763627605823</v>
      </c>
      <c r="Y3" s="2" t="n">
        <v>0.249525788650385</v>
      </c>
      <c r="Z3" s="2" t="n">
        <v>0.211581283816717</v>
      </c>
      <c r="AA3" s="2" t="n">
        <v>0.828170192926614</v>
      </c>
      <c r="AB3" s="2" t="n">
        <v>0.786807260614515</v>
      </c>
      <c r="AC3" s="2" t="n">
        <v>0.0246739924250626</v>
      </c>
      <c r="AD3" s="2" t="n">
        <v>0.00014626255735662</v>
      </c>
      <c r="AE3" s="2" t="n">
        <v>0.01984137468566</v>
      </c>
      <c r="AF3" s="2" t="n">
        <v>0.00515632729838299</v>
      </c>
      <c r="AG3" s="2" t="n">
        <v>0.453404632431684</v>
      </c>
      <c r="AH3" s="2" t="n">
        <v>0.115836014188502</v>
      </c>
      <c r="AI3" s="2" t="n">
        <v>0.430759353379814</v>
      </c>
      <c r="AJ3" s="2" t="n">
        <v>79.6507830429419</v>
      </c>
      <c r="AK3" s="2"/>
      <c r="AL3" s="2"/>
      <c r="AM3" s="2"/>
      <c r="AN3" s="2"/>
      <c r="AO3" s="2"/>
      <c r="AP3" s="2" t="n">
        <v>4.81885540109024</v>
      </c>
      <c r="AQ3" s="2" t="n">
        <v>4.0253803215538</v>
      </c>
      <c r="AR3" s="2" t="n">
        <v>5.46818701844559</v>
      </c>
      <c r="AS3" s="2" t="n">
        <v>1121.02001953125</v>
      </c>
      <c r="AT3" s="2" t="n">
        <v>1115.35727844238</v>
      </c>
      <c r="AU3" s="2" t="n">
        <v>1124.85980834961</v>
      </c>
      <c r="AV3" s="2" t="n">
        <v>16.2390062731817</v>
      </c>
      <c r="AW3" s="2" t="n">
        <v>13.6618629645365</v>
      </c>
      <c r="AX3" s="2" t="n">
        <v>18.3195963393113</v>
      </c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customFormat="false" ht="15" hidden="false" customHeight="false" outlineLevel="0" collapsed="false">
      <c r="A4" s="2" t="s">
        <v>95</v>
      </c>
      <c r="B4" s="2" t="n">
        <v>2009</v>
      </c>
      <c r="C4" s="2" t="s">
        <v>85</v>
      </c>
      <c r="D4" s="2" t="s">
        <v>86</v>
      </c>
      <c r="E4" s="2" t="n">
        <v>95</v>
      </c>
      <c r="F4" s="2" t="s">
        <v>96</v>
      </c>
      <c r="G4" s="2" t="s">
        <v>97</v>
      </c>
      <c r="H4" s="2" t="s">
        <v>94</v>
      </c>
      <c r="I4" s="2" t="n">
        <v>1</v>
      </c>
      <c r="J4" s="2" t="s">
        <v>90</v>
      </c>
      <c r="K4" s="2" t="n">
        <v>49.5997499535031</v>
      </c>
      <c r="L4" s="2" t="n">
        <v>1.71</v>
      </c>
      <c r="M4" s="2" t="n">
        <v>4.73</v>
      </c>
      <c r="N4" s="2" t="n">
        <v>6.67</v>
      </c>
      <c r="O4" s="2" t="n">
        <v>0.1478</v>
      </c>
      <c r="P4" s="2" t="n">
        <v>14.4576491409774</v>
      </c>
      <c r="Q4" s="2" t="n">
        <v>19.5500569156678</v>
      </c>
      <c r="R4" s="2" t="n">
        <v>0.2757</v>
      </c>
      <c r="S4" s="2" t="n">
        <v>0</v>
      </c>
      <c r="T4" s="2" t="n">
        <v>0.29</v>
      </c>
      <c r="U4" s="2" t="n">
        <v>97.4309560101482</v>
      </c>
      <c r="V4" s="2" t="n">
        <v>2.60262382860318</v>
      </c>
      <c r="W4" s="2" t="n">
        <v>1.90309513187503</v>
      </c>
      <c r="X4" s="2" t="n">
        <v>0.0493599956574091</v>
      </c>
      <c r="Y4" s="2" t="n">
        <v>0.213893161073456</v>
      </c>
      <c r="Z4" s="2" t="n">
        <v>0.214030259679278</v>
      </c>
      <c r="AA4" s="2" t="n">
        <v>0.826969285280669</v>
      </c>
      <c r="AB4" s="2" t="n">
        <v>0.803716904727328</v>
      </c>
      <c r="AC4" s="2" t="n">
        <v>0.0205098292904546</v>
      </c>
      <c r="AD4" s="2" t="n">
        <v>0</v>
      </c>
      <c r="AE4" s="2" t="n">
        <v>0.00879696422864067</v>
      </c>
      <c r="AF4" s="2" t="n">
        <v>0.00480318396429499</v>
      </c>
      <c r="AG4" s="2" t="n">
        <v>0.44829073076291</v>
      </c>
      <c r="AH4" s="2" t="n">
        <v>0.116023391950324</v>
      </c>
      <c r="AI4" s="2" t="n">
        <v>0.435685877286766</v>
      </c>
      <c r="AJ4" s="2" t="n">
        <v>79.4399276430508</v>
      </c>
      <c r="AK4" s="2"/>
      <c r="AL4" s="2"/>
      <c r="AM4" s="2"/>
      <c r="AN4" s="2"/>
      <c r="AO4" s="2"/>
      <c r="AP4" s="2" t="n">
        <v>3.91110214248151</v>
      </c>
      <c r="AQ4" s="2" t="n">
        <v>3.14806671395749</v>
      </c>
      <c r="AR4" s="2" t="n">
        <v>4.3400094176814</v>
      </c>
      <c r="AS4" s="2" t="n">
        <v>1098.75805664063</v>
      </c>
      <c r="AT4" s="2" t="n">
        <v>1090.59416198731</v>
      </c>
      <c r="AU4" s="2" t="n">
        <v>1103.47098693848</v>
      </c>
      <c r="AV4" s="2" t="n">
        <v>13.2875534076924</v>
      </c>
      <c r="AW4" s="2" t="n">
        <v>10.7680049413267</v>
      </c>
      <c r="AX4" s="2" t="n">
        <v>14.6883179547355</v>
      </c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customFormat="false" ht="15" hidden="false" customHeight="false" outlineLevel="0" collapsed="false">
      <c r="A5" s="2" t="s">
        <v>98</v>
      </c>
      <c r="B5" s="2" t="n">
        <v>2009</v>
      </c>
      <c r="C5" s="2" t="s">
        <v>85</v>
      </c>
      <c r="D5" s="2" t="s">
        <v>86</v>
      </c>
      <c r="E5" s="2" t="n">
        <v>96</v>
      </c>
      <c r="F5" s="2" t="s">
        <v>99</v>
      </c>
      <c r="G5" s="2" t="s">
        <v>93</v>
      </c>
      <c r="H5" s="2" t="s">
        <v>89</v>
      </c>
      <c r="I5" s="2" t="n">
        <v>1</v>
      </c>
      <c r="J5" s="2" t="s">
        <v>90</v>
      </c>
      <c r="K5" s="2" t="n">
        <v>49.4991011102533</v>
      </c>
      <c r="L5" s="2" t="n">
        <v>1.0312</v>
      </c>
      <c r="M5" s="2" t="n">
        <v>7.78</v>
      </c>
      <c r="N5" s="2" t="n">
        <v>7.23</v>
      </c>
      <c r="O5" s="2" t="n">
        <v>0.1859</v>
      </c>
      <c r="P5" s="2" t="n">
        <v>14.4281035364659</v>
      </c>
      <c r="Q5" s="2" t="n">
        <v>16.9663489532447</v>
      </c>
      <c r="R5" s="2" t="n">
        <v>0.199</v>
      </c>
      <c r="S5" s="2" t="n">
        <v>0.0012</v>
      </c>
      <c r="T5" s="2" t="n">
        <v>0.1416</v>
      </c>
      <c r="U5" s="2" t="n">
        <v>97.4624535999638</v>
      </c>
      <c r="V5" s="2" t="n">
        <v>2.64638435928869</v>
      </c>
      <c r="W5" s="2" t="n">
        <v>1.86782766750433</v>
      </c>
      <c r="X5" s="2" t="n">
        <v>0.0292738866820399</v>
      </c>
      <c r="Y5" s="2" t="n">
        <v>0.345998197008909</v>
      </c>
      <c r="Z5" s="2" t="n">
        <v>0.228163474852629</v>
      </c>
      <c r="AA5" s="2" t="n">
        <v>0.811632500439892</v>
      </c>
      <c r="AB5" s="2" t="n">
        <v>0.685964992612985</v>
      </c>
      <c r="AC5" s="2" t="n">
        <v>0.0145591773556601</v>
      </c>
      <c r="AD5" s="2" t="n">
        <v>5.77672535932889E-005</v>
      </c>
      <c r="AE5" s="2" t="n">
        <v>0.00422431759417582</v>
      </c>
      <c r="AF5" s="2" t="n">
        <v>0.00594145287657747</v>
      </c>
      <c r="AG5" s="2" t="n">
        <v>0.4703041241134</v>
      </c>
      <c r="AH5" s="2" t="n">
        <v>0.132210357689074</v>
      </c>
      <c r="AI5" s="2" t="n">
        <v>0.397485518197527</v>
      </c>
      <c r="AJ5" s="2" t="n">
        <v>78.0568995962462</v>
      </c>
      <c r="AK5" s="2"/>
      <c r="AL5" s="2"/>
      <c r="AM5" s="2"/>
      <c r="AN5" s="2"/>
      <c r="AO5" s="2"/>
      <c r="AP5" s="2" t="n">
        <v>7.80205345153809</v>
      </c>
      <c r="AQ5" s="2" t="n">
        <v>7.38189846277237</v>
      </c>
      <c r="AR5" s="2" t="n">
        <v>8.27589426040649</v>
      </c>
      <c r="AS5" s="2" t="n">
        <v>1165.3310546875</v>
      </c>
      <c r="AT5" s="2" t="n">
        <v>1151.69060974121</v>
      </c>
      <c r="AU5" s="2" t="n">
        <v>1189.88608093262</v>
      </c>
      <c r="AV5" s="2" t="n">
        <v>25.5868169770248</v>
      </c>
      <c r="AW5" s="2" t="n">
        <v>24.3028963303465</v>
      </c>
      <c r="AX5" s="2" t="n">
        <v>27.0219567281375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customFormat="false" ht="15" hidden="false" customHeight="false" outlineLevel="0" collapsed="false">
      <c r="A6" s="2" t="s">
        <v>100</v>
      </c>
      <c r="B6" s="2" t="n">
        <v>2009</v>
      </c>
      <c r="C6" s="2" t="s">
        <v>85</v>
      </c>
      <c r="D6" s="2" t="s">
        <v>86</v>
      </c>
      <c r="E6" s="2" t="n">
        <v>97</v>
      </c>
      <c r="F6" s="2" t="s">
        <v>101</v>
      </c>
      <c r="G6" s="2" t="s">
        <v>93</v>
      </c>
      <c r="H6" s="2" t="s">
        <v>94</v>
      </c>
      <c r="I6" s="2" t="n">
        <v>1</v>
      </c>
      <c r="J6" s="2" t="s">
        <v>90</v>
      </c>
      <c r="K6" s="2" t="n">
        <v>49.0965057372541</v>
      </c>
      <c r="L6" s="2" t="n">
        <v>1.92</v>
      </c>
      <c r="M6" s="2" t="n">
        <v>4.31</v>
      </c>
      <c r="N6" s="2" t="n">
        <v>7.82</v>
      </c>
      <c r="O6" s="2" t="n">
        <v>0.1856</v>
      </c>
      <c r="P6" s="2" t="n">
        <v>15.4129570201837</v>
      </c>
      <c r="Q6" s="2" t="n">
        <v>18.3443265332037</v>
      </c>
      <c r="R6" s="2" t="n">
        <v>0.2717</v>
      </c>
      <c r="S6" s="2" t="n">
        <v>0</v>
      </c>
      <c r="T6" s="2" t="n">
        <v>0.3166</v>
      </c>
      <c r="U6" s="2" t="n">
        <v>97.6776892906414</v>
      </c>
      <c r="V6" s="2" t="n">
        <v>2.64079739462583</v>
      </c>
      <c r="W6" s="2" t="n">
        <v>1.85655540344046</v>
      </c>
      <c r="X6" s="2" t="n">
        <v>0.0546206104986826</v>
      </c>
      <c r="Y6" s="2" t="n">
        <v>0.192083184477318</v>
      </c>
      <c r="Z6" s="2" t="n">
        <v>0.247304726328426</v>
      </c>
      <c r="AA6" s="2" t="n">
        <v>0.868868364275443</v>
      </c>
      <c r="AB6" s="2" t="n">
        <v>0.743247005462956</v>
      </c>
      <c r="AC6" s="2" t="n">
        <v>0.0199200872717049</v>
      </c>
      <c r="AD6" s="2" t="n">
        <v>0</v>
      </c>
      <c r="AE6" s="2" t="n">
        <v>0.00946503136510327</v>
      </c>
      <c r="AF6" s="2" t="n">
        <v>0.00594441439664148</v>
      </c>
      <c r="AG6" s="2" t="n">
        <v>0.467279215769117</v>
      </c>
      <c r="AH6" s="2" t="n">
        <v>0.133000996843877</v>
      </c>
      <c r="AI6" s="2" t="n">
        <v>0.399719787387005</v>
      </c>
      <c r="AJ6" s="2" t="n">
        <v>77.843514737071</v>
      </c>
      <c r="AK6" s="2" t="n">
        <v>0.143435434192721</v>
      </c>
      <c r="AL6" s="2" t="n">
        <v>0.0486496573205761</v>
      </c>
      <c r="AM6" s="2" t="n">
        <v>0.0199203171823003</v>
      </c>
      <c r="AN6" s="2" t="n">
        <v>0.0287293401382757</v>
      </c>
      <c r="AO6" s="2" t="n">
        <v>0.0573530470272228</v>
      </c>
      <c r="AP6" s="2" t="n">
        <v>2.93662834387676</v>
      </c>
      <c r="AQ6" s="2" t="n">
        <v>2.37623662572757</v>
      </c>
      <c r="AR6" s="2" t="n">
        <v>3.27435437065021</v>
      </c>
      <c r="AS6" s="2" t="n">
        <v>1115.90173339844</v>
      </c>
      <c r="AT6" s="2" t="n">
        <v>1108.86985168457</v>
      </c>
      <c r="AU6" s="2" t="n">
        <v>1121.78903503418</v>
      </c>
      <c r="AV6" s="2" t="n">
        <v>10.0635908775255</v>
      </c>
      <c r="AW6" s="2" t="n">
        <v>8.18352138720166</v>
      </c>
      <c r="AX6" s="2" t="n">
        <v>11.1874442164678</v>
      </c>
      <c r="AY6" s="2" t="n">
        <v>2.64298308785855</v>
      </c>
      <c r="AZ6" s="2" t="n">
        <v>0.184606144178745</v>
      </c>
      <c r="BA6" s="2" t="n">
        <v>2.1676899871327</v>
      </c>
      <c r="BB6" s="2" t="n">
        <v>3.16805044741174</v>
      </c>
      <c r="BC6" s="2" t="n">
        <v>1458.94533067293</v>
      </c>
      <c r="BD6" s="2" t="n">
        <v>2.8563660700835</v>
      </c>
      <c r="BE6" s="2" t="n">
        <v>4</v>
      </c>
      <c r="BF6" s="2" t="n">
        <v>4</v>
      </c>
      <c r="BG6" s="2" t="n">
        <v>9.08080784263986</v>
      </c>
      <c r="BH6" s="2" t="n">
        <v>0.648024135635451</v>
      </c>
      <c r="BI6" s="2" t="n">
        <v>7.4790051653863</v>
      </c>
      <c r="BJ6" s="2" t="n">
        <v>10.8344412958434</v>
      </c>
      <c r="BK6" s="2" t="n">
        <v>1.74489034943585</v>
      </c>
      <c r="BL6" s="2" t="n">
        <v>1.05211260772454</v>
      </c>
      <c r="BM6" s="2" t="n">
        <v>2.29165106027384</v>
      </c>
      <c r="BN6" s="2" t="n">
        <v>4000</v>
      </c>
      <c r="BO6" s="2" t="n">
        <v>1157.43597412109</v>
      </c>
      <c r="BP6" s="2" t="n">
        <v>1152.54230957031</v>
      </c>
      <c r="BQ6" s="2" t="n">
        <v>1161.03885498047</v>
      </c>
      <c r="BR6" s="2" t="n">
        <v>4000</v>
      </c>
      <c r="BS6" s="2" t="n">
        <v>6.04260731693542</v>
      </c>
      <c r="BT6" s="2" t="n">
        <v>3.66558240703691</v>
      </c>
      <c r="BU6" s="2" t="n">
        <v>7.89809052598056</v>
      </c>
      <c r="BV6" s="2" t="n">
        <v>48.79</v>
      </c>
      <c r="BW6" s="2" t="n">
        <v>3.65</v>
      </c>
      <c r="BX6" s="2" t="n">
        <v>13.63</v>
      </c>
      <c r="BY6" s="2" t="n">
        <v>12.31</v>
      </c>
      <c r="BZ6" s="2" t="n">
        <v>0.19</v>
      </c>
      <c r="CA6" s="2" t="n">
        <v>6.29</v>
      </c>
      <c r="CB6" s="2" t="n">
        <v>11.39</v>
      </c>
      <c r="CC6" s="2" t="n">
        <v>2.96</v>
      </c>
      <c r="CD6" s="2" t="n">
        <v>0.5</v>
      </c>
      <c r="CE6" s="2" t="n">
        <v>0.29</v>
      </c>
      <c r="CF6" s="2" t="n">
        <v>0.15</v>
      </c>
    </row>
    <row r="7" customFormat="false" ht="15" hidden="false" customHeight="false" outlineLevel="0" collapsed="false">
      <c r="A7" s="2" t="s">
        <v>102</v>
      </c>
      <c r="B7" s="2" t="n">
        <v>2009</v>
      </c>
      <c r="C7" s="2" t="s">
        <v>85</v>
      </c>
      <c r="D7" s="2" t="s">
        <v>86</v>
      </c>
      <c r="E7" s="2" t="n">
        <v>98</v>
      </c>
      <c r="F7" s="2" t="s">
        <v>103</v>
      </c>
      <c r="G7" s="2" t="s">
        <v>88</v>
      </c>
      <c r="H7" s="2" t="s">
        <v>94</v>
      </c>
      <c r="I7" s="2" t="n">
        <v>1</v>
      </c>
      <c r="J7" s="2" t="s">
        <v>90</v>
      </c>
      <c r="K7" s="2" t="n">
        <v>47.1841777155078</v>
      </c>
      <c r="L7" s="2" t="n">
        <v>3.1</v>
      </c>
      <c r="M7" s="2" t="n">
        <v>5.43</v>
      </c>
      <c r="N7" s="2" t="n">
        <v>9.98</v>
      </c>
      <c r="O7" s="2" t="n">
        <v>0.2351</v>
      </c>
      <c r="P7" s="2" t="n">
        <v>12.8621864973545</v>
      </c>
      <c r="Q7" s="2" t="n">
        <v>18.6218359069454</v>
      </c>
      <c r="R7" s="2" t="n">
        <v>0.4129</v>
      </c>
      <c r="S7" s="2" t="n">
        <v>0</v>
      </c>
      <c r="T7" s="2" t="n">
        <v>0.0769</v>
      </c>
      <c r="U7" s="2" t="n">
        <v>97.9031001198077</v>
      </c>
      <c r="V7" s="2" t="n">
        <v>2.53198543212233</v>
      </c>
      <c r="W7" s="2" t="n">
        <v>1.86091956219934</v>
      </c>
      <c r="X7" s="2" t="n">
        <v>0.0919794684247459</v>
      </c>
      <c r="Y7" s="2" t="n">
        <v>0.252397928829788</v>
      </c>
      <c r="Z7" s="2" t="n">
        <v>0.329177456247427</v>
      </c>
      <c r="AA7" s="2" t="n">
        <v>0.756234872107641</v>
      </c>
      <c r="AB7" s="2" t="n">
        <v>0.786914905022265</v>
      </c>
      <c r="AC7" s="2" t="n">
        <v>0.0315733280119855</v>
      </c>
      <c r="AD7" s="2" t="n">
        <v>0</v>
      </c>
      <c r="AE7" s="2" t="n">
        <v>0.00239779122751991</v>
      </c>
      <c r="AF7" s="2" t="n">
        <v>0.0078533981320273</v>
      </c>
      <c r="AG7" s="2" t="n">
        <v>0.403901016139969</v>
      </c>
      <c r="AH7" s="2" t="n">
        <v>0.175811925596815</v>
      </c>
      <c r="AI7" s="2" t="n">
        <v>0.420287058263216</v>
      </c>
      <c r="AJ7" s="2" t="n">
        <v>69.6725891490203</v>
      </c>
      <c r="AK7" s="2"/>
      <c r="AL7" s="2"/>
      <c r="AM7" s="2"/>
      <c r="AN7" s="2"/>
      <c r="AO7" s="2"/>
      <c r="AP7" s="2" t="n">
        <v>3.65167178431059</v>
      </c>
      <c r="AQ7" s="2" t="n">
        <v>3.35760643997694</v>
      </c>
      <c r="AR7" s="2" t="n">
        <v>4.124203126817</v>
      </c>
      <c r="AS7" s="2" t="n">
        <v>1095.17114257813</v>
      </c>
      <c r="AT7" s="2" t="n">
        <v>1090.7507232666</v>
      </c>
      <c r="AU7" s="2" t="n">
        <v>1097.47059936523</v>
      </c>
      <c r="AV7" s="2" t="n">
        <v>12.4348712098016</v>
      </c>
      <c r="AW7" s="2" t="n">
        <v>11.46342079584</v>
      </c>
      <c r="AX7" s="2" t="n">
        <v>13.9849115152091</v>
      </c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customFormat="false" ht="15" hidden="false" customHeight="false" outlineLevel="0" collapsed="false">
      <c r="A8" s="2" t="s">
        <v>104</v>
      </c>
      <c r="B8" s="2" t="n">
        <v>2009</v>
      </c>
      <c r="C8" s="2" t="s">
        <v>85</v>
      </c>
      <c r="D8" s="2" t="s">
        <v>86</v>
      </c>
      <c r="E8" s="2" t="n">
        <v>99</v>
      </c>
      <c r="F8" s="2" t="s">
        <v>105</v>
      </c>
      <c r="G8" s="2" t="s">
        <v>97</v>
      </c>
      <c r="H8" s="2" t="s">
        <v>94</v>
      </c>
      <c r="I8" s="2" t="n">
        <v>1</v>
      </c>
      <c r="J8" s="2" t="s">
        <v>90</v>
      </c>
      <c r="K8" s="2" t="n">
        <v>48.0598226517811</v>
      </c>
      <c r="L8" s="2" t="n">
        <v>1.8</v>
      </c>
      <c r="M8" s="2" t="n">
        <v>5</v>
      </c>
      <c r="N8" s="2" t="n">
        <v>6.17</v>
      </c>
      <c r="O8" s="2" t="n">
        <v>0.1269</v>
      </c>
      <c r="P8" s="2" t="n">
        <v>14.5068918151633</v>
      </c>
      <c r="Q8" s="2" t="n">
        <v>20.4591393468907</v>
      </c>
      <c r="R8" s="2" t="n">
        <v>0.318</v>
      </c>
      <c r="S8" s="2" t="n">
        <v>0</v>
      </c>
      <c r="T8" s="2" t="n">
        <v>1.031</v>
      </c>
      <c r="U8" s="2" t="n">
        <v>97.471753813835</v>
      </c>
      <c r="V8" s="2" t="n">
        <v>2.62987170192084</v>
      </c>
      <c r="W8" s="2" t="n">
        <v>1.82490396510886</v>
      </c>
      <c r="X8" s="2" t="n">
        <v>0.0514195589581091</v>
      </c>
      <c r="Y8" s="2" t="n">
        <v>0.223760076665291</v>
      </c>
      <c r="Z8" s="2" t="n">
        <v>0.195934696371703</v>
      </c>
      <c r="AA8" s="2" t="n">
        <v>0.821188597799992</v>
      </c>
      <c r="AB8" s="2" t="n">
        <v>0.83237547737786</v>
      </c>
      <c r="AC8" s="2" t="n">
        <v>0.0234114999410916</v>
      </c>
      <c r="AD8" s="2" t="n">
        <v>0</v>
      </c>
      <c r="AE8" s="2" t="n">
        <v>0.030950689833816</v>
      </c>
      <c r="AF8" s="2" t="n">
        <v>0.0040812504677889</v>
      </c>
      <c r="AG8" s="2" t="n">
        <v>0.444006025001022</v>
      </c>
      <c r="AH8" s="2" t="n">
        <v>0.105939349290589</v>
      </c>
      <c r="AI8" s="2" t="n">
        <v>0.450054625708389</v>
      </c>
      <c r="AJ8" s="2" t="n">
        <v>80.7363868771421</v>
      </c>
      <c r="AK8" s="2" t="n">
        <v>0.175087845244849</v>
      </c>
      <c r="AL8" s="2" t="n">
        <v>0.0486743528328421</v>
      </c>
      <c r="AM8" s="2" t="n">
        <v>0.0234117596732676</v>
      </c>
      <c r="AN8" s="2" t="n">
        <v>0.0252625931595745</v>
      </c>
      <c r="AO8" s="2" t="n">
        <v>0.074912626042637</v>
      </c>
      <c r="AP8" s="2" t="n">
        <v>3.62377609475627</v>
      </c>
      <c r="AQ8" s="2" t="n">
        <v>3.02326130136027</v>
      </c>
      <c r="AR8" s="2" t="n">
        <v>4.0537399457313</v>
      </c>
      <c r="AS8" s="2" t="n">
        <v>1146.62060546875</v>
      </c>
      <c r="AT8" s="2" t="n">
        <v>1143.1794128418</v>
      </c>
      <c r="AU8" s="2" t="n">
        <v>1153.93783874512</v>
      </c>
      <c r="AV8" s="2" t="n">
        <v>12.3429422500503</v>
      </c>
      <c r="AW8" s="2" t="n">
        <v>10.3525391098946</v>
      </c>
      <c r="AX8" s="2" t="n">
        <v>13.7546302065039</v>
      </c>
      <c r="AY8" s="2" t="n">
        <v>3.39488286778217</v>
      </c>
      <c r="AZ8" s="2" t="n">
        <v>0.161526580283615</v>
      </c>
      <c r="BA8" s="2" t="n">
        <v>2.84716636954038</v>
      </c>
      <c r="BB8" s="2" t="n">
        <v>3.92374906384513</v>
      </c>
      <c r="BC8" s="2" t="n">
        <v>1455.9853952328</v>
      </c>
      <c r="BD8" s="2" t="n">
        <v>3.28847365497379</v>
      </c>
      <c r="BE8" s="2" t="n">
        <v>76</v>
      </c>
      <c r="BF8" s="2" t="n">
        <v>76</v>
      </c>
      <c r="BG8" s="2" t="n">
        <v>11.5868542153507</v>
      </c>
      <c r="BH8" s="2" t="n">
        <v>0.567120751284177</v>
      </c>
      <c r="BI8" s="2" t="n">
        <v>9.76472964169101</v>
      </c>
      <c r="BJ8" s="2" t="n">
        <v>13.3290163900775</v>
      </c>
      <c r="BK8" s="2" t="n">
        <v>1.92807166296953</v>
      </c>
      <c r="BL8" s="2" t="n">
        <v>1.43264543142547</v>
      </c>
      <c r="BM8" s="2" t="n">
        <v>2.41145277774043</v>
      </c>
      <c r="BN8" s="2" t="n">
        <v>76000</v>
      </c>
      <c r="BO8" s="2" t="n">
        <v>1160.32763671875</v>
      </c>
      <c r="BP8" s="2" t="n">
        <v>1149.78942565918</v>
      </c>
      <c r="BQ8" s="2" t="n">
        <v>1165.96011047363</v>
      </c>
      <c r="BR8" s="2" t="n">
        <v>76000</v>
      </c>
      <c r="BS8" s="2" t="n">
        <v>6.66626811160692</v>
      </c>
      <c r="BT8" s="2" t="n">
        <v>4.97484814250363</v>
      </c>
      <c r="BU8" s="2" t="n">
        <v>8.30222915492962</v>
      </c>
      <c r="BV8" s="2" t="n">
        <v>48.77</v>
      </c>
      <c r="BW8" s="2" t="n">
        <v>3.43</v>
      </c>
      <c r="BX8" s="2" t="n">
        <v>13.84</v>
      </c>
      <c r="BY8" s="2" t="n">
        <v>11.98</v>
      </c>
      <c r="BZ8" s="2" t="n">
        <v>0.17</v>
      </c>
      <c r="CA8" s="2" t="n">
        <v>6.53</v>
      </c>
      <c r="CB8" s="2" t="n">
        <v>11.6</v>
      </c>
      <c r="CC8" s="2" t="n">
        <v>2.96</v>
      </c>
      <c r="CD8" s="2" t="n">
        <v>0.45</v>
      </c>
      <c r="CE8" s="2" t="n">
        <v>0.27</v>
      </c>
      <c r="CF8" s="2" t="n">
        <v>0.15</v>
      </c>
    </row>
    <row r="9" customFormat="false" ht="15" hidden="false" customHeight="false" outlineLevel="0" collapsed="false">
      <c r="A9" s="2" t="s">
        <v>106</v>
      </c>
      <c r="B9" s="2" t="n">
        <v>2009</v>
      </c>
      <c r="C9" s="2" t="s">
        <v>85</v>
      </c>
      <c r="D9" s="2" t="s">
        <v>86</v>
      </c>
      <c r="E9" s="2" t="n">
        <v>100</v>
      </c>
      <c r="F9" s="2" t="s">
        <v>107</v>
      </c>
      <c r="G9" s="2" t="s">
        <v>88</v>
      </c>
      <c r="H9" s="2" t="s">
        <v>108</v>
      </c>
      <c r="I9" s="2" t="n">
        <v>2</v>
      </c>
      <c r="J9" s="2" t="s">
        <v>90</v>
      </c>
      <c r="K9" s="2" t="n">
        <v>50.3445513935516</v>
      </c>
      <c r="L9" s="2" t="n">
        <v>1.88</v>
      </c>
      <c r="M9" s="2" t="n">
        <v>5.55</v>
      </c>
      <c r="N9" s="2" t="n">
        <v>7.48</v>
      </c>
      <c r="O9" s="2" t="n">
        <v>0.1657</v>
      </c>
      <c r="P9" s="2" t="n">
        <v>14.5955286286979</v>
      </c>
      <c r="Q9" s="2" t="n">
        <v>19.4926411831695</v>
      </c>
      <c r="R9" s="2" t="n">
        <v>0.3375</v>
      </c>
      <c r="S9" s="2" t="n">
        <v>0.001</v>
      </c>
      <c r="T9" s="2" t="n">
        <v>0.6445</v>
      </c>
      <c r="U9" s="2" t="n">
        <v>100.491421205419</v>
      </c>
      <c r="V9" s="2" t="n">
        <v>2.67347115529233</v>
      </c>
      <c r="W9" s="2" t="n">
        <v>1.88048288680608</v>
      </c>
      <c r="X9" s="2" t="n">
        <v>0.052829043867558</v>
      </c>
      <c r="Y9" s="2" t="n">
        <v>0.24432316191227</v>
      </c>
      <c r="Z9" s="2" t="n">
        <v>0.233661328348299</v>
      </c>
      <c r="AA9" s="2" t="n">
        <v>0.812732125129807</v>
      </c>
      <c r="AB9" s="2" t="n">
        <v>0.780120453102416</v>
      </c>
      <c r="AC9" s="2" t="n">
        <v>0.0244418995890972</v>
      </c>
      <c r="AD9" s="2" t="n">
        <v>4.76516444690633E-005</v>
      </c>
      <c r="AE9" s="2" t="n">
        <v>0.0190324040370338</v>
      </c>
      <c r="AF9" s="2" t="n">
        <v>0.00524219526657761</v>
      </c>
      <c r="AG9" s="2" t="n">
        <v>0.444963557190402</v>
      </c>
      <c r="AH9" s="2" t="n">
        <v>0.127927483884174</v>
      </c>
      <c r="AI9" s="2" t="n">
        <v>0.427108958925424</v>
      </c>
      <c r="AJ9" s="2" t="n">
        <v>77.669840386364</v>
      </c>
      <c r="AK9" s="2"/>
      <c r="AL9" s="2"/>
      <c r="AM9" s="2"/>
      <c r="AN9" s="2"/>
      <c r="AO9" s="2"/>
      <c r="AP9" s="2" t="n">
        <v>3.76521504495456</v>
      </c>
      <c r="AQ9" s="2" t="n">
        <v>3.35256492469622</v>
      </c>
      <c r="AR9" s="2" t="n">
        <v>4.52850269649341</v>
      </c>
      <c r="AS9" s="2" t="n">
        <v>1120.06689453125</v>
      </c>
      <c r="AT9" s="2" t="n">
        <v>1115.75230407715</v>
      </c>
      <c r="AU9" s="2" t="n">
        <v>1123.01974487305</v>
      </c>
      <c r="AV9" s="2" t="n">
        <v>12.8085611932127</v>
      </c>
      <c r="AW9" s="2" t="n">
        <v>11.4467203640381</v>
      </c>
      <c r="AX9" s="2" t="n">
        <v>15.3003903294351</v>
      </c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customFormat="false" ht="15" hidden="false" customHeight="false" outlineLevel="0" collapsed="false">
      <c r="A10" s="2" t="s">
        <v>109</v>
      </c>
      <c r="B10" s="2" t="n">
        <v>2009</v>
      </c>
      <c r="C10" s="2" t="s">
        <v>85</v>
      </c>
      <c r="D10" s="2" t="s">
        <v>86</v>
      </c>
      <c r="E10" s="2" t="n">
        <v>101</v>
      </c>
      <c r="F10" s="2" t="s">
        <v>110</v>
      </c>
      <c r="G10" s="2" t="s">
        <v>93</v>
      </c>
      <c r="H10" s="2" t="s">
        <v>108</v>
      </c>
      <c r="I10" s="2" t="n">
        <v>2</v>
      </c>
      <c r="J10" s="2" t="s">
        <v>90</v>
      </c>
      <c r="K10" s="2" t="n">
        <v>49.106570621579</v>
      </c>
      <c r="L10" s="2" t="n">
        <v>1.97</v>
      </c>
      <c r="M10" s="2" t="n">
        <v>4.74</v>
      </c>
      <c r="N10" s="2" t="n">
        <v>7.85</v>
      </c>
      <c r="O10" s="2" t="n">
        <v>0.1677</v>
      </c>
      <c r="P10" s="2" t="n">
        <v>14.7235595815812</v>
      </c>
      <c r="Q10" s="2" t="n">
        <v>19.8754127331581</v>
      </c>
      <c r="R10" s="2" t="n">
        <v>0.3592</v>
      </c>
      <c r="S10" s="2" t="n">
        <v>0</v>
      </c>
      <c r="T10" s="2" t="n">
        <v>0.3951</v>
      </c>
      <c r="U10" s="2" t="n">
        <v>99.1875429363183</v>
      </c>
      <c r="V10" s="2" t="n">
        <v>2.66836115866381</v>
      </c>
      <c r="W10" s="2" t="n">
        <v>1.83775413526042</v>
      </c>
      <c r="X10" s="2" t="n">
        <v>0.055464106353264</v>
      </c>
      <c r="Y10" s="2" t="n">
        <v>0.209064787411187</v>
      </c>
      <c r="Z10" s="2" t="n">
        <v>0.245689045227787</v>
      </c>
      <c r="AA10" s="2" t="n">
        <v>0.82143141491055</v>
      </c>
      <c r="AB10" s="2" t="n">
        <v>0.796962752435433</v>
      </c>
      <c r="AC10" s="2" t="n">
        <v>0.0260632397413094</v>
      </c>
      <c r="AD10" s="2" t="n">
        <v>0</v>
      </c>
      <c r="AE10" s="2" t="n">
        <v>0.0116898422118335</v>
      </c>
      <c r="AF10" s="2" t="n">
        <v>0.00531562873646511</v>
      </c>
      <c r="AG10" s="2" t="n">
        <v>0.440662417519649</v>
      </c>
      <c r="AH10" s="2" t="n">
        <v>0.131801543820868</v>
      </c>
      <c r="AI10" s="2" t="n">
        <v>0.427536038659483</v>
      </c>
      <c r="AJ10" s="2" t="n">
        <v>76.9764469518337</v>
      </c>
      <c r="AK10" s="2" t="n">
        <v>0.162236796144508</v>
      </c>
      <c r="AL10" s="2" t="n">
        <v>0.046830066786997</v>
      </c>
      <c r="AM10" s="2" t="n">
        <v>0.0260635405400292</v>
      </c>
      <c r="AN10" s="2" t="n">
        <v>0.0207665262469678</v>
      </c>
      <c r="AO10" s="2" t="n">
        <v>0.0707351349487699</v>
      </c>
      <c r="AP10" s="2" t="n">
        <v>2.33824147756571</v>
      </c>
      <c r="AQ10" s="2" t="n">
        <v>1.86586764033312</v>
      </c>
      <c r="AR10" s="2" t="n">
        <v>2.99021736557955</v>
      </c>
      <c r="AS10" s="2" t="n">
        <v>1115.51452636719</v>
      </c>
      <c r="AT10" s="2" t="n">
        <v>1111.87029418945</v>
      </c>
      <c r="AU10" s="2" t="n">
        <v>1120.87313842773</v>
      </c>
      <c r="AV10" s="2" t="n">
        <v>8.05536180278879</v>
      </c>
      <c r="AW10" s="2" t="n">
        <v>6.45471573649457</v>
      </c>
      <c r="AX10" s="2" t="n">
        <v>10.2423808188707</v>
      </c>
      <c r="AY10" s="2" t="n">
        <v>3.74588331710554</v>
      </c>
      <c r="AZ10" s="2"/>
      <c r="BA10" s="2" t="n">
        <v>3.32932333575253</v>
      </c>
      <c r="BB10" s="2" t="n">
        <v>4.22128110304498</v>
      </c>
      <c r="BC10" s="2" t="n">
        <v>1460.30920815799</v>
      </c>
      <c r="BD10" s="2"/>
      <c r="BE10" s="2" t="n">
        <v>1</v>
      </c>
      <c r="BF10" s="2" t="n">
        <v>1</v>
      </c>
      <c r="BG10" s="2" t="n">
        <v>12.7449924073027</v>
      </c>
      <c r="BH10" s="2"/>
      <c r="BI10" s="2" t="n">
        <v>11.3697107817906</v>
      </c>
      <c r="BJ10" s="2" t="n">
        <v>14.3016800414228</v>
      </c>
      <c r="BK10" s="2" t="n">
        <v>1.3833913411393</v>
      </c>
      <c r="BL10" s="2" t="n">
        <v>1.01527316605557</v>
      </c>
      <c r="BM10" s="2" t="n">
        <v>1.79160395472298</v>
      </c>
      <c r="BN10" s="2" t="n">
        <v>1000</v>
      </c>
      <c r="BO10" s="2" t="n">
        <v>1151.75384521484</v>
      </c>
      <c r="BP10" s="2" t="n">
        <v>1146.2949798584</v>
      </c>
      <c r="BQ10" s="2" t="n">
        <v>1154.24024963379</v>
      </c>
      <c r="BR10" s="2" t="n">
        <v>1000</v>
      </c>
      <c r="BS10" s="2" t="n">
        <v>4.80587833674868</v>
      </c>
      <c r="BT10" s="2" t="n">
        <v>3.5383663026029</v>
      </c>
      <c r="BU10" s="2" t="n">
        <v>6.20184204907397</v>
      </c>
      <c r="BV10" s="2" t="n">
        <v>48.62</v>
      </c>
      <c r="BW10" s="2" t="n">
        <v>3.78</v>
      </c>
      <c r="BX10" s="2" t="n">
        <v>13.42</v>
      </c>
      <c r="BY10" s="2" t="n">
        <v>12.57</v>
      </c>
      <c r="BZ10" s="2" t="n">
        <v>0.23</v>
      </c>
      <c r="CA10" s="2" t="n">
        <v>6.14</v>
      </c>
      <c r="CB10" s="2" t="n">
        <v>11.19</v>
      </c>
      <c r="CC10" s="2" t="n">
        <v>3.21</v>
      </c>
      <c r="CD10" s="2" t="n">
        <v>0.48</v>
      </c>
      <c r="CE10" s="2" t="n">
        <v>0.36</v>
      </c>
      <c r="CF10" s="2" t="n">
        <v>0.15</v>
      </c>
    </row>
    <row r="11" customFormat="false" ht="15" hidden="false" customHeight="false" outlineLevel="0" collapsed="false">
      <c r="A11" s="2" t="s">
        <v>111</v>
      </c>
      <c r="B11" s="2" t="n">
        <v>2009</v>
      </c>
      <c r="C11" s="2" t="s">
        <v>85</v>
      </c>
      <c r="D11" s="2" t="s">
        <v>86</v>
      </c>
      <c r="E11" s="2" t="n">
        <v>102</v>
      </c>
      <c r="F11" s="2" t="s">
        <v>112</v>
      </c>
      <c r="G11" s="2" t="s">
        <v>97</v>
      </c>
      <c r="H11" s="2" t="s">
        <v>108</v>
      </c>
      <c r="I11" s="2" t="n">
        <v>2</v>
      </c>
      <c r="J11" s="2" t="s">
        <v>90</v>
      </c>
      <c r="K11" s="2" t="n">
        <v>48.7140401329048</v>
      </c>
      <c r="L11" s="2" t="n">
        <v>2.02</v>
      </c>
      <c r="M11" s="2" t="n">
        <v>5.08</v>
      </c>
      <c r="N11" s="2" t="n">
        <v>7.08</v>
      </c>
      <c r="O11" s="2" t="n">
        <v>0.1414</v>
      </c>
      <c r="P11" s="2" t="n">
        <v>14.5955286286979</v>
      </c>
      <c r="Q11" s="2" t="n">
        <v>20.2868921493958</v>
      </c>
      <c r="R11" s="2" t="n">
        <v>0.3267</v>
      </c>
      <c r="S11" s="2" t="n">
        <v>0</v>
      </c>
      <c r="T11" s="2" t="n">
        <v>0.858</v>
      </c>
      <c r="U11" s="2" t="n">
        <v>99.1025609109985</v>
      </c>
      <c r="V11" s="2" t="n">
        <v>2.6682357515949</v>
      </c>
      <c r="W11" s="2" t="n">
        <v>1.82314983950258</v>
      </c>
      <c r="X11" s="2" t="n">
        <v>0.0568744977641479</v>
      </c>
      <c r="Y11" s="2" t="n">
        <v>0.224071526656736</v>
      </c>
      <c r="Z11" s="2" t="n">
        <v>0.221600024928915</v>
      </c>
      <c r="AA11" s="2" t="n">
        <v>0.814326804599333</v>
      </c>
      <c r="AB11" s="2" t="n">
        <v>0.813500454754235</v>
      </c>
      <c r="AC11" s="2" t="n">
        <v>0.0237061821322084</v>
      </c>
      <c r="AD11" s="2" t="n">
        <v>0</v>
      </c>
      <c r="AE11" s="2" t="n">
        <v>0.0253868793274799</v>
      </c>
      <c r="AF11" s="2" t="n">
        <v>0.0044822017289112</v>
      </c>
      <c r="AG11" s="2" t="n">
        <v>0.44031296148811</v>
      </c>
      <c r="AH11" s="2" t="n">
        <v>0.119820890938617</v>
      </c>
      <c r="AI11" s="2" t="n">
        <v>0.439866147573272</v>
      </c>
      <c r="AJ11" s="2" t="n">
        <v>78.6085253695158</v>
      </c>
      <c r="AK11" s="2" t="n">
        <v>0.176841235076255</v>
      </c>
      <c r="AL11" s="2" t="n">
        <v>0.0472325073429324</v>
      </c>
      <c r="AM11" s="2" t="n">
        <v>0.0237064548032598</v>
      </c>
      <c r="AN11" s="2" t="n">
        <v>0.0235260525396726</v>
      </c>
      <c r="AO11" s="2" t="n">
        <v>0.0766575912682912</v>
      </c>
      <c r="AP11" s="2" t="n">
        <v>2.86839233884479</v>
      </c>
      <c r="AQ11" s="2" t="n">
        <v>2.40908767232563</v>
      </c>
      <c r="AR11" s="2" t="n">
        <v>3.81775429496433</v>
      </c>
      <c r="AS11" s="2" t="n">
        <v>1138.46350097656</v>
      </c>
      <c r="AT11" s="2" t="n">
        <v>1135.96585998535</v>
      </c>
      <c r="AU11" s="2" t="n">
        <v>1141.09833679199</v>
      </c>
      <c r="AV11" s="2" t="n">
        <v>9.83568208347524</v>
      </c>
      <c r="AW11" s="2" t="n">
        <v>8.29425913371725</v>
      </c>
      <c r="AX11" s="2" t="n">
        <v>12.9812123156065</v>
      </c>
      <c r="AY11" s="2" t="n">
        <v>3.50249777364287</v>
      </c>
      <c r="AZ11" s="2" t="n">
        <v>0.176987931983343</v>
      </c>
      <c r="BA11" s="2" t="n">
        <v>3.01749799486786</v>
      </c>
      <c r="BB11" s="2" t="n">
        <v>3.99687185664337</v>
      </c>
      <c r="BC11" s="2" t="n">
        <v>1458.80297365495</v>
      </c>
      <c r="BD11" s="2" t="n">
        <v>3.45617665147917</v>
      </c>
      <c r="BE11" s="2" t="n">
        <v>20</v>
      </c>
      <c r="BF11" s="2" t="n">
        <v>20</v>
      </c>
      <c r="BG11" s="2" t="n">
        <v>11.9427269555234</v>
      </c>
      <c r="BH11" s="2" t="n">
        <v>0.621322730799784</v>
      </c>
      <c r="BI11" s="2" t="n">
        <v>10.3333307874403</v>
      </c>
      <c r="BJ11" s="2" t="n">
        <v>13.5685597262281</v>
      </c>
      <c r="BK11" s="2" t="n">
        <v>1.8590786640911</v>
      </c>
      <c r="BL11" s="2" t="n">
        <v>1.41228291590987</v>
      </c>
      <c r="BM11" s="2" t="n">
        <v>2.29199749190514</v>
      </c>
      <c r="BN11" s="2" t="n">
        <v>20000</v>
      </c>
      <c r="BO11" s="2" t="n">
        <v>1157.61047363281</v>
      </c>
      <c r="BP11" s="2" t="n">
        <v>1147.68477783203</v>
      </c>
      <c r="BQ11" s="2" t="n">
        <v>1161.67164306641</v>
      </c>
      <c r="BR11" s="2" t="n">
        <v>20000</v>
      </c>
      <c r="BS11" s="2" t="n">
        <v>6.43161261865574</v>
      </c>
      <c r="BT11" s="2" t="n">
        <v>4.90501085010003</v>
      </c>
      <c r="BU11" s="2" t="n">
        <v>7.89926043095142</v>
      </c>
      <c r="BV11" s="2" t="n">
        <v>48.47</v>
      </c>
      <c r="BW11" s="2" t="n">
        <v>3.55</v>
      </c>
      <c r="BX11" s="2" t="n">
        <v>13.66</v>
      </c>
      <c r="BY11" s="2" t="n">
        <v>12.22</v>
      </c>
      <c r="BZ11" s="2" t="n">
        <v>0.19</v>
      </c>
      <c r="CA11" s="2" t="n">
        <v>6.53</v>
      </c>
      <c r="CB11" s="2" t="n">
        <v>11.51</v>
      </c>
      <c r="CC11" s="2" t="n">
        <v>2.99</v>
      </c>
      <c r="CD11" s="2" t="n">
        <v>0.48</v>
      </c>
      <c r="CE11" s="2" t="n">
        <v>0.41</v>
      </c>
      <c r="CF11" s="2" t="n">
        <v>0.15</v>
      </c>
    </row>
    <row r="12" customFormat="false" ht="15" hidden="false" customHeight="false" outlineLevel="0" collapsed="false">
      <c r="A12" s="2" t="s">
        <v>113</v>
      </c>
      <c r="B12" s="2" t="n">
        <v>2009</v>
      </c>
      <c r="C12" s="2" t="s">
        <v>85</v>
      </c>
      <c r="D12" s="2" t="s">
        <v>86</v>
      </c>
      <c r="E12" s="2" t="n">
        <v>104</v>
      </c>
      <c r="F12" s="2" t="s">
        <v>114</v>
      </c>
      <c r="G12" s="2" t="s">
        <v>97</v>
      </c>
      <c r="H12" s="2" t="s">
        <v>108</v>
      </c>
      <c r="I12" s="2" t="n">
        <v>2</v>
      </c>
      <c r="J12" s="2" t="s">
        <v>88</v>
      </c>
      <c r="K12" s="2" t="n">
        <v>49.1669599275289</v>
      </c>
      <c r="L12" s="2" t="n">
        <v>2.05</v>
      </c>
      <c r="M12" s="2" t="n">
        <v>4.9</v>
      </c>
      <c r="N12" s="2" t="n">
        <v>7.01</v>
      </c>
      <c r="O12" s="2" t="n">
        <v>0.158</v>
      </c>
      <c r="P12" s="2" t="n">
        <v>15.0879553705568</v>
      </c>
      <c r="Q12" s="2" t="n">
        <v>20.6218172556358</v>
      </c>
      <c r="R12" s="2" t="n">
        <v>0.2991</v>
      </c>
      <c r="S12" s="2" t="n">
        <v>0.0006</v>
      </c>
      <c r="T12" s="2" t="n">
        <v>0.6419</v>
      </c>
      <c r="U12" s="2" t="n">
        <v>99.9363325537215</v>
      </c>
      <c r="V12" s="2" t="n">
        <v>2.69151301528263</v>
      </c>
      <c r="W12" s="2" t="n">
        <v>1.82418669861014</v>
      </c>
      <c r="X12" s="2" t="n">
        <v>0.057219990440687</v>
      </c>
      <c r="Y12" s="2" t="n">
        <v>0.214262789923123</v>
      </c>
      <c r="Z12" s="2" t="n">
        <v>0.217511528303805</v>
      </c>
      <c r="AA12" s="2" t="n">
        <v>0.834520494516933</v>
      </c>
      <c r="AB12" s="2" t="n">
        <v>0.819779263077493</v>
      </c>
      <c r="AC12" s="2" t="n">
        <v>0.0215157559736805</v>
      </c>
      <c r="AD12" s="2" t="n">
        <v>2.83993344115949E-005</v>
      </c>
      <c r="AE12" s="2" t="n">
        <v>0.0188285606318483</v>
      </c>
      <c r="AF12" s="2" t="n">
        <v>0.00496508617937276</v>
      </c>
      <c r="AG12" s="2" t="n">
        <v>0.445835806634999</v>
      </c>
      <c r="AH12" s="2" t="n">
        <v>0.116203770082211</v>
      </c>
      <c r="AI12" s="2" t="n">
        <v>0.43796042328279</v>
      </c>
      <c r="AJ12" s="2" t="n">
        <v>79.3246285678066</v>
      </c>
      <c r="AK12" s="2" t="n">
        <v>0.175804324558593</v>
      </c>
      <c r="AL12" s="2" t="n">
        <v>0.0384605895741924</v>
      </c>
      <c r="AM12" s="2" t="n">
        <v>0.0215160039967156</v>
      </c>
      <c r="AN12" s="2" t="n">
        <v>0.0169445855774768</v>
      </c>
      <c r="AO12" s="2" t="n">
        <v>0.0794298694905579</v>
      </c>
      <c r="AP12" s="2" t="n">
        <v>1.78479308979179</v>
      </c>
      <c r="AQ12" s="2" t="n">
        <v>1.31067608492042</v>
      </c>
      <c r="AR12" s="2" t="n">
        <v>2.30169907705452</v>
      </c>
      <c r="AS12" s="2" t="n">
        <v>1117.0546875</v>
      </c>
      <c r="AT12" s="2" t="n">
        <v>1112.12239379883</v>
      </c>
      <c r="AU12" s="2" t="n">
        <v>1120.74220581055</v>
      </c>
      <c r="AV12" s="2" t="n">
        <v>6.1786337872859</v>
      </c>
      <c r="AW12" s="2" t="n">
        <v>4.55615453144437</v>
      </c>
      <c r="AX12" s="2" t="n">
        <v>7.93201988018418</v>
      </c>
      <c r="AY12" s="2" t="n">
        <v>2.91733076770059</v>
      </c>
      <c r="AZ12" s="2" t="n">
        <v>0.167155786576516</v>
      </c>
      <c r="BA12" s="2" t="n">
        <v>2.34599716756423</v>
      </c>
      <c r="BB12" s="2" t="n">
        <v>3.49049942903189</v>
      </c>
      <c r="BC12" s="2" t="n">
        <v>1454.83417696613</v>
      </c>
      <c r="BD12" s="2" t="n">
        <v>3.29101113741492</v>
      </c>
      <c r="BE12" s="2" t="n">
        <v>61</v>
      </c>
      <c r="BF12" s="2" t="n">
        <v>61</v>
      </c>
      <c r="BG12" s="2" t="n">
        <v>9.99916543627086</v>
      </c>
      <c r="BH12" s="2" t="n">
        <v>0.586856415997697</v>
      </c>
      <c r="BI12" s="2" t="n">
        <v>8.08152924931942</v>
      </c>
      <c r="BJ12" s="2" t="n">
        <v>11.9030842787318</v>
      </c>
      <c r="BK12" s="2" t="n">
        <v>1.44003746542787</v>
      </c>
      <c r="BL12" s="2" t="n">
        <v>1.05003850235629</v>
      </c>
      <c r="BM12" s="2" t="n">
        <v>1.84697483413522</v>
      </c>
      <c r="BN12" s="2" t="n">
        <v>61000</v>
      </c>
      <c r="BO12" s="2" t="n">
        <v>1158.83123779297</v>
      </c>
      <c r="BP12" s="2" t="n">
        <v>1150.30842590332</v>
      </c>
      <c r="BQ12" s="2" t="n">
        <v>1163.64065551758</v>
      </c>
      <c r="BR12" s="2" t="n">
        <v>61000</v>
      </c>
      <c r="BS12" s="2" t="n">
        <v>5.00019437527222</v>
      </c>
      <c r="BT12" s="2" t="n">
        <v>3.65842217048464</v>
      </c>
      <c r="BU12" s="2" t="n">
        <v>6.39041594338678</v>
      </c>
      <c r="BV12" s="2" t="n">
        <v>48.77</v>
      </c>
      <c r="BW12" s="2" t="n">
        <v>3.43</v>
      </c>
      <c r="BX12" s="2" t="n">
        <v>13.84</v>
      </c>
      <c r="BY12" s="2" t="n">
        <v>11.98</v>
      </c>
      <c r="BZ12" s="2" t="n">
        <v>0.17</v>
      </c>
      <c r="CA12" s="2" t="n">
        <v>6.53</v>
      </c>
      <c r="CB12" s="2" t="n">
        <v>11.6</v>
      </c>
      <c r="CC12" s="2" t="n">
        <v>2.96</v>
      </c>
      <c r="CD12" s="2" t="n">
        <v>0.45</v>
      </c>
      <c r="CE12" s="2" t="n">
        <v>0.27</v>
      </c>
      <c r="CF12" s="2" t="n">
        <v>0.15</v>
      </c>
    </row>
    <row r="13" customFormat="false" ht="15" hidden="false" customHeight="false" outlineLevel="0" collapsed="false">
      <c r="A13" s="2" t="s">
        <v>115</v>
      </c>
      <c r="B13" s="2" t="n">
        <v>2009</v>
      </c>
      <c r="C13" s="2" t="s">
        <v>85</v>
      </c>
      <c r="D13" s="2" t="s">
        <v>86</v>
      </c>
      <c r="E13" s="2" t="n">
        <v>105</v>
      </c>
      <c r="F13" s="2" t="s">
        <v>116</v>
      </c>
      <c r="G13" s="2" t="s">
        <v>93</v>
      </c>
      <c r="H13" s="2" t="s">
        <v>108</v>
      </c>
      <c r="I13" s="2" t="n">
        <v>2</v>
      </c>
      <c r="J13" s="2" t="s">
        <v>88</v>
      </c>
      <c r="K13" s="2" t="n">
        <v>47.2747616744326</v>
      </c>
      <c r="L13" s="2" t="n">
        <v>2.85</v>
      </c>
      <c r="M13" s="2" t="n">
        <v>6.16</v>
      </c>
      <c r="N13" s="2" t="n">
        <v>7.58</v>
      </c>
      <c r="O13" s="2" t="n">
        <v>0.1348</v>
      </c>
      <c r="P13" s="2" t="n">
        <v>13.935676794607</v>
      </c>
      <c r="Q13" s="2" t="n">
        <v>20.6409558331353</v>
      </c>
      <c r="R13" s="2" t="n">
        <v>0.3388</v>
      </c>
      <c r="S13" s="2" t="n">
        <v>0.0035</v>
      </c>
      <c r="T13" s="2" t="n">
        <v>0.5964</v>
      </c>
      <c r="U13" s="2" t="n">
        <v>99.5148943021748</v>
      </c>
      <c r="V13" s="2" t="n">
        <v>2.59339599331782</v>
      </c>
      <c r="W13" s="2" t="n">
        <v>1.82034173179565</v>
      </c>
      <c r="X13" s="2" t="n">
        <v>0.082559381089974</v>
      </c>
      <c r="Y13" s="2" t="n">
        <v>0.279549703799404</v>
      </c>
      <c r="Z13" s="2" t="n">
        <v>0.244096254938223</v>
      </c>
      <c r="AA13" s="2" t="n">
        <v>0.79994905560179</v>
      </c>
      <c r="AB13" s="2" t="n">
        <v>0.851583910882177</v>
      </c>
      <c r="AC13" s="2" t="n">
        <v>0.0252936350086321</v>
      </c>
      <c r="AD13" s="2" t="n">
        <v>0.000171930372613697</v>
      </c>
      <c r="AE13" s="2" t="n">
        <v>0.0181557849089019</v>
      </c>
      <c r="AF13" s="2" t="n">
        <v>0.00439629923342026</v>
      </c>
      <c r="AG13" s="2" t="n">
        <v>0.421996583805366</v>
      </c>
      <c r="AH13" s="2" t="n">
        <v>0.128767932135531</v>
      </c>
      <c r="AI13" s="2" t="n">
        <v>0.449235484059103</v>
      </c>
      <c r="AJ13" s="2" t="n">
        <v>76.6201473754077</v>
      </c>
      <c r="AK13" s="2"/>
      <c r="AL13" s="2"/>
      <c r="AM13" s="2"/>
      <c r="AN13" s="2"/>
      <c r="AO13" s="2"/>
      <c r="AP13" s="2" t="n">
        <v>1.04117095682876</v>
      </c>
      <c r="AQ13" s="2" t="n">
        <v>0.729142697789832</v>
      </c>
      <c r="AR13" s="2" t="n">
        <v>1.61612325523154</v>
      </c>
      <c r="AS13" s="2" t="n">
        <v>1138.02783203125</v>
      </c>
      <c r="AT13" s="2" t="n">
        <v>1124.16128540039</v>
      </c>
      <c r="AU13" s="2" t="n">
        <v>1142.68745117188</v>
      </c>
      <c r="AV13" s="2" t="n">
        <v>3.62780664718551</v>
      </c>
      <c r="AW13" s="2" t="n">
        <v>2.54748384422494</v>
      </c>
      <c r="AX13" s="2" t="n">
        <v>5.60298856547275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customFormat="false" ht="15" hidden="false" customHeight="false" outlineLevel="0" collapsed="false">
      <c r="A14" s="2" t="s">
        <v>117</v>
      </c>
      <c r="B14" s="2" t="n">
        <v>2009</v>
      </c>
      <c r="C14" s="2" t="s">
        <v>85</v>
      </c>
      <c r="D14" s="2" t="s">
        <v>86</v>
      </c>
      <c r="E14" s="2" t="n">
        <v>106</v>
      </c>
      <c r="F14" s="2" t="s">
        <v>118</v>
      </c>
      <c r="G14" s="2" t="s">
        <v>93</v>
      </c>
      <c r="H14" s="2" t="s">
        <v>108</v>
      </c>
      <c r="I14" s="2" t="n">
        <v>2</v>
      </c>
      <c r="J14" s="2" t="s">
        <v>88</v>
      </c>
      <c r="K14" s="2" t="n">
        <v>49.0361164313042</v>
      </c>
      <c r="L14" s="2" t="n">
        <v>1.97</v>
      </c>
      <c r="M14" s="2" t="n">
        <v>4.97</v>
      </c>
      <c r="N14" s="2" t="n">
        <v>7.48</v>
      </c>
      <c r="O14" s="2" t="n">
        <v>0.1588</v>
      </c>
      <c r="P14" s="2" t="n">
        <v>14.654619837721</v>
      </c>
      <c r="Q14" s="2" t="n">
        <v>19.9136898881569</v>
      </c>
      <c r="R14" s="2" t="n">
        <v>0.3496</v>
      </c>
      <c r="S14" s="2" t="n">
        <v>0</v>
      </c>
      <c r="T14" s="2" t="n">
        <v>0.6102</v>
      </c>
      <c r="U14" s="2" t="n">
        <v>99.143026157182</v>
      </c>
      <c r="V14" s="2" t="n">
        <v>2.67057043065794</v>
      </c>
      <c r="W14" s="2" t="n">
        <v>1.83359934201989</v>
      </c>
      <c r="X14" s="2" t="n">
        <v>0.055418222786428</v>
      </c>
      <c r="Y14" s="2" t="n">
        <v>0.219027936939948</v>
      </c>
      <c r="Z14" s="2" t="n">
        <v>0.233915126998753</v>
      </c>
      <c r="AA14" s="2" t="n">
        <v>0.816908887310758</v>
      </c>
      <c r="AB14" s="2" t="n">
        <v>0.797837016948977</v>
      </c>
      <c r="AC14" s="2" t="n">
        <v>0.0253456871025783</v>
      </c>
      <c r="AD14" s="2" t="n">
        <v>0</v>
      </c>
      <c r="AE14" s="2" t="n">
        <v>0.0180390805172746</v>
      </c>
      <c r="AF14" s="2" t="n">
        <v>0.00502935915378007</v>
      </c>
      <c r="AG14" s="2" t="n">
        <v>0.441892198460332</v>
      </c>
      <c r="AH14" s="2" t="n">
        <v>0.12653218899709</v>
      </c>
      <c r="AI14" s="2" t="n">
        <v>0.431575612542579</v>
      </c>
      <c r="AJ14" s="2" t="n">
        <v>77.7398380876881</v>
      </c>
      <c r="AK14" s="2" t="n">
        <v>0.166391734412815</v>
      </c>
      <c r="AL14" s="2" t="n">
        <v>0.0526383620830797</v>
      </c>
      <c r="AM14" s="2" t="n">
        <v>0.0253459778986274</v>
      </c>
      <c r="AN14" s="2" t="n">
        <v>0.0272923841844523</v>
      </c>
      <c r="AO14" s="2" t="n">
        <v>0.0695496751141816</v>
      </c>
      <c r="AP14" s="2" t="n">
        <v>2.56866313522201</v>
      </c>
      <c r="AQ14" s="2" t="n">
        <v>2.21237193649154</v>
      </c>
      <c r="AR14" s="2" t="n">
        <v>3.38291091029983</v>
      </c>
      <c r="AS14" s="2" t="n">
        <v>1116.70239257813</v>
      </c>
      <c r="AT14" s="2" t="n">
        <v>1113.09948730469</v>
      </c>
      <c r="AU14" s="2" t="n">
        <v>1119.83037109375</v>
      </c>
      <c r="AV14" s="2" t="n">
        <v>8.83124239896895</v>
      </c>
      <c r="AW14" s="2" t="n">
        <v>7.63017242707375</v>
      </c>
      <c r="AX14" s="2" t="n">
        <v>11.5472206568443</v>
      </c>
      <c r="AY14" s="2" t="n">
        <v>3.79423967321216</v>
      </c>
      <c r="AZ14" s="2" t="n">
        <v>0.187318955012926</v>
      </c>
      <c r="BA14" s="2" t="n">
        <v>3.33118323773501</v>
      </c>
      <c r="BB14" s="2" t="n">
        <v>4.25983726092238</v>
      </c>
      <c r="BC14" s="2" t="n">
        <v>1461.16489844539</v>
      </c>
      <c r="BD14" s="2" t="n">
        <v>2.88341384940425</v>
      </c>
      <c r="BE14" s="2" t="n">
        <v>4</v>
      </c>
      <c r="BF14" s="2" t="n">
        <v>4</v>
      </c>
      <c r="BG14" s="2" t="n">
        <v>12.903960749704</v>
      </c>
      <c r="BH14" s="2" t="n">
        <v>0.657531535685461</v>
      </c>
      <c r="BI14" s="2" t="n">
        <v>11.3758746581225</v>
      </c>
      <c r="BJ14" s="2" t="n">
        <v>14.4273315569438</v>
      </c>
      <c r="BK14" s="2" t="n">
        <v>1.69031046574329</v>
      </c>
      <c r="BL14" s="2" t="n">
        <v>1.2329155671077</v>
      </c>
      <c r="BM14" s="2" t="n">
        <v>2.31847560388205</v>
      </c>
      <c r="BN14" s="2" t="n">
        <v>4000</v>
      </c>
      <c r="BO14" s="2" t="n">
        <v>1154.85882568359</v>
      </c>
      <c r="BP14" s="2" t="n">
        <v>1147.88949584961</v>
      </c>
      <c r="BQ14" s="2" t="n">
        <v>1158.0778503418</v>
      </c>
      <c r="BR14" s="2" t="n">
        <v>4000</v>
      </c>
      <c r="BS14" s="2" t="n">
        <v>5.85639093754762</v>
      </c>
      <c r="BT14" s="2" t="n">
        <v>4.28874939428679</v>
      </c>
      <c r="BU14" s="2" t="n">
        <v>7.98865590317726</v>
      </c>
      <c r="BV14" s="2" t="n">
        <v>48.79</v>
      </c>
      <c r="BW14" s="2" t="n">
        <v>3.65</v>
      </c>
      <c r="BX14" s="2" t="n">
        <v>13.63</v>
      </c>
      <c r="BY14" s="2" t="n">
        <v>12.31</v>
      </c>
      <c r="BZ14" s="2" t="n">
        <v>0.19</v>
      </c>
      <c r="CA14" s="2" t="n">
        <v>6.29</v>
      </c>
      <c r="CB14" s="2" t="n">
        <v>11.39</v>
      </c>
      <c r="CC14" s="2" t="n">
        <v>2.96</v>
      </c>
      <c r="CD14" s="2" t="n">
        <v>0.5</v>
      </c>
      <c r="CE14" s="2" t="n">
        <v>0.29</v>
      </c>
      <c r="CF14" s="2" t="n">
        <v>0.15</v>
      </c>
    </row>
    <row r="15" customFormat="false" ht="15" hidden="false" customHeight="false" outlineLevel="0" collapsed="false">
      <c r="A15" s="2" t="s">
        <v>119</v>
      </c>
      <c r="B15" s="2" t="n">
        <v>2009</v>
      </c>
      <c r="C15" s="2" t="s">
        <v>85</v>
      </c>
      <c r="D15" s="2" t="s">
        <v>86</v>
      </c>
      <c r="E15" s="2" t="n">
        <v>107</v>
      </c>
      <c r="F15" s="2" t="s">
        <v>120</v>
      </c>
      <c r="G15" s="2" t="s">
        <v>88</v>
      </c>
      <c r="H15" s="2" t="s">
        <v>108</v>
      </c>
      <c r="I15" s="2" t="n">
        <v>2</v>
      </c>
      <c r="J15" s="2" t="s">
        <v>88</v>
      </c>
      <c r="K15" s="2" t="n">
        <v>48.4825477934303</v>
      </c>
      <c r="L15" s="2" t="n">
        <v>2.17</v>
      </c>
      <c r="M15" s="2" t="n">
        <v>5.31</v>
      </c>
      <c r="N15" s="2" t="n">
        <v>7.4</v>
      </c>
      <c r="O15" s="2" t="n">
        <v>0.1512</v>
      </c>
      <c r="P15" s="2" t="n">
        <v>14.6644683725581</v>
      </c>
      <c r="Q15" s="2" t="n">
        <v>20.1911992618987</v>
      </c>
      <c r="R15" s="2" t="n">
        <v>0.3265</v>
      </c>
      <c r="S15" s="2" t="n">
        <v>0</v>
      </c>
      <c r="T15" s="2" t="n">
        <v>0.4909</v>
      </c>
      <c r="U15" s="2" t="n">
        <v>99.186815427887</v>
      </c>
      <c r="V15" s="2" t="n">
        <v>2.66840127620911</v>
      </c>
      <c r="W15" s="2" t="n">
        <v>1.81437355584854</v>
      </c>
      <c r="X15" s="2" t="n">
        <v>0.0610940615744533</v>
      </c>
      <c r="Y15" s="2" t="n">
        <v>0.234201968579218</v>
      </c>
      <c r="Z15" s="2" t="n">
        <v>0.231601477814117</v>
      </c>
      <c r="AA15" s="2" t="n">
        <v>0.818122400119361</v>
      </c>
      <c r="AB15" s="2" t="n">
        <v>0.809612963933112</v>
      </c>
      <c r="AC15" s="2" t="n">
        <v>0.023690199997049</v>
      </c>
      <c r="AD15" s="2" t="n">
        <v>0</v>
      </c>
      <c r="AE15" s="2" t="n">
        <v>0.0145240629380004</v>
      </c>
      <c r="AF15" s="2" t="n">
        <v>0.00479255206642727</v>
      </c>
      <c r="AG15" s="2" t="n">
        <v>0.440007631590867</v>
      </c>
      <c r="AH15" s="2" t="n">
        <v>0.124561334234421</v>
      </c>
      <c r="AI15" s="2" t="n">
        <v>0.435431034174712</v>
      </c>
      <c r="AJ15" s="2" t="n">
        <v>77.9369143940923</v>
      </c>
      <c r="AK15" s="2" t="n">
        <v>0.185617084151913</v>
      </c>
      <c r="AL15" s="2" t="n">
        <v>0.048587262008368</v>
      </c>
      <c r="AM15" s="2" t="n">
        <v>0.0236904787195803</v>
      </c>
      <c r="AN15" s="2" t="n">
        <v>0.0248967832887877</v>
      </c>
      <c r="AO15" s="2" t="n">
        <v>0.0803601504315626</v>
      </c>
      <c r="AP15" s="2" t="n">
        <v>2.27622736801192</v>
      </c>
      <c r="AQ15" s="2" t="n">
        <v>1.75506387461707</v>
      </c>
      <c r="AR15" s="2" t="n">
        <v>3.16008352150008</v>
      </c>
      <c r="AS15" s="2" t="n">
        <v>1121.95776367188</v>
      </c>
      <c r="AT15" s="2" t="n">
        <v>1115.33354492188</v>
      </c>
      <c r="AU15" s="2" t="n">
        <v>1124.45947570801</v>
      </c>
      <c r="AV15" s="2" t="n">
        <v>7.84599710895725</v>
      </c>
      <c r="AW15" s="2" t="n">
        <v>6.07729752588538</v>
      </c>
      <c r="AX15" s="2" t="n">
        <v>10.8079579789976</v>
      </c>
      <c r="AY15" s="2" t="n">
        <v>3.33628383061644</v>
      </c>
      <c r="AZ15" s="2" t="n">
        <v>0.165372268403241</v>
      </c>
      <c r="BA15" s="2" t="n">
        <v>2.87198399668398</v>
      </c>
      <c r="BB15" s="2" t="n">
        <v>3.79170407771329</v>
      </c>
      <c r="BC15" s="2" t="n">
        <v>1456.40742163522</v>
      </c>
      <c r="BD15" s="2" t="n">
        <v>3.14211016710441</v>
      </c>
      <c r="BE15" s="2" t="n">
        <v>5</v>
      </c>
      <c r="BF15" s="2" t="n">
        <v>5</v>
      </c>
      <c r="BG15" s="2" t="n">
        <v>11.3927773891718</v>
      </c>
      <c r="BH15" s="2" t="n">
        <v>0.580603714468103</v>
      </c>
      <c r="BI15" s="2" t="n">
        <v>9.84768528400176</v>
      </c>
      <c r="BJ15" s="2" t="n">
        <v>12.8956286664998</v>
      </c>
      <c r="BK15" s="2" t="n">
        <v>1.6226611570684</v>
      </c>
      <c r="BL15" s="2" t="n">
        <v>1.23457713995561</v>
      </c>
      <c r="BM15" s="2" t="n">
        <v>2.0742920022944</v>
      </c>
      <c r="BN15" s="2" t="n">
        <v>5000</v>
      </c>
      <c r="BO15" s="2" t="n">
        <v>1154.91638183594</v>
      </c>
      <c r="BP15" s="2" t="n">
        <v>1145.63229980469</v>
      </c>
      <c r="BQ15" s="2" t="n">
        <v>1158.87672119141</v>
      </c>
      <c r="BR15" s="2" t="n">
        <v>5000</v>
      </c>
      <c r="BS15" s="2" t="n">
        <v>5.62533357644782</v>
      </c>
      <c r="BT15" s="2" t="n">
        <v>4.29446709072054</v>
      </c>
      <c r="BU15" s="2" t="n">
        <v>7.16263182535018</v>
      </c>
      <c r="BV15" s="2" t="n">
        <v>48.26</v>
      </c>
      <c r="BW15" s="2" t="n">
        <v>3.66</v>
      </c>
      <c r="BX15" s="2" t="n">
        <v>13.59</v>
      </c>
      <c r="BY15" s="2" t="n">
        <v>12.44</v>
      </c>
      <c r="BZ15" s="2" t="n">
        <v>0.2</v>
      </c>
      <c r="CA15" s="2" t="n">
        <v>6.41</v>
      </c>
      <c r="CB15" s="2" t="n">
        <v>11.52</v>
      </c>
      <c r="CC15" s="2" t="n">
        <v>3.18</v>
      </c>
      <c r="CD15" s="2" t="n">
        <v>0.46</v>
      </c>
      <c r="CE15" s="2" t="n">
        <v>0.3</v>
      </c>
      <c r="CF15" s="2" t="n">
        <v>0.15</v>
      </c>
    </row>
    <row r="16" customFormat="false" ht="15" hidden="false" customHeight="false" outlineLevel="0" collapsed="false">
      <c r="A16" s="2" t="s">
        <v>121</v>
      </c>
      <c r="B16" s="2" t="n">
        <v>2009</v>
      </c>
      <c r="C16" s="2" t="s">
        <v>85</v>
      </c>
      <c r="D16" s="2" t="s">
        <v>86</v>
      </c>
      <c r="E16" s="2" t="n">
        <v>108</v>
      </c>
      <c r="F16" s="2" t="s">
        <v>122</v>
      </c>
      <c r="G16" s="2" t="s">
        <v>97</v>
      </c>
      <c r="H16" s="2" t="s">
        <v>108</v>
      </c>
      <c r="I16" s="2" t="n">
        <v>2</v>
      </c>
      <c r="J16" s="2" t="s">
        <v>89</v>
      </c>
      <c r="K16" s="2" t="n">
        <v>49.6903339124279</v>
      </c>
      <c r="L16" s="2" t="n">
        <v>2.16</v>
      </c>
      <c r="M16" s="2" t="n">
        <v>3.48</v>
      </c>
      <c r="N16" s="2" t="n">
        <v>10.37</v>
      </c>
      <c r="O16" s="2" t="n">
        <v>0.2426</v>
      </c>
      <c r="P16" s="2" t="n">
        <v>14.3591637926056</v>
      </c>
      <c r="Q16" s="2" t="n">
        <v>18.5452815969477</v>
      </c>
      <c r="R16" s="2" t="n">
        <v>0.357</v>
      </c>
      <c r="S16" s="2" t="n">
        <v>0.0024</v>
      </c>
      <c r="T16" s="2" t="n">
        <v>0.0588</v>
      </c>
      <c r="U16" s="2" t="n">
        <v>99.2655793019812</v>
      </c>
      <c r="V16" s="2" t="n">
        <v>2.59810976048961</v>
      </c>
      <c r="W16" s="2" t="n">
        <v>1.90988331041466</v>
      </c>
      <c r="X16" s="2" t="n">
        <v>0.0624577968578348</v>
      </c>
      <c r="Y16" s="2" t="n">
        <v>0.157640901321056</v>
      </c>
      <c r="Z16" s="2" t="n">
        <v>0.333335837669061</v>
      </c>
      <c r="AA16" s="2" t="n">
        <v>0.822763004128005</v>
      </c>
      <c r="AB16" s="2" t="n">
        <v>0.763734512342869</v>
      </c>
      <c r="AC16" s="2" t="n">
        <v>0.0266040284057829</v>
      </c>
      <c r="AD16" s="2" t="n">
        <v>0.000117681214791737</v>
      </c>
      <c r="AE16" s="2" t="n">
        <v>0.001786759341757</v>
      </c>
      <c r="AF16" s="2" t="n">
        <v>0.00789767922623911</v>
      </c>
      <c r="AG16" s="2" t="n">
        <v>0.42855959469284</v>
      </c>
      <c r="AH16" s="2" t="n">
        <v>0.173627485401404</v>
      </c>
      <c r="AI16" s="2" t="n">
        <v>0.397812919905756</v>
      </c>
      <c r="AJ16" s="2" t="n">
        <v>71.167185225191</v>
      </c>
      <c r="AK16" s="2"/>
      <c r="AL16" s="2"/>
      <c r="AM16" s="2"/>
      <c r="AN16" s="2"/>
      <c r="AO16" s="2"/>
      <c r="AP16" s="2" t="n">
        <v>1.99362945986992</v>
      </c>
      <c r="AQ16" s="2" t="n">
        <v>1.39621881676918</v>
      </c>
      <c r="AR16" s="2" t="n">
        <v>2.62540068460709</v>
      </c>
      <c r="AS16" s="2" t="n">
        <v>1102.33251953125</v>
      </c>
      <c r="AT16" s="2" t="n">
        <v>1099.9180480957</v>
      </c>
      <c r="AU16" s="2" t="n">
        <v>1104.9348815918</v>
      </c>
      <c r="AV16" s="2" t="n">
        <v>6.88897269773184</v>
      </c>
      <c r="AW16" s="2" t="n">
        <v>4.84989810025447</v>
      </c>
      <c r="AX16" s="2" t="n">
        <v>9.02179658574158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customFormat="false" ht="15" hidden="false" customHeight="false" outlineLevel="0" collapsed="false">
      <c r="A17" s="2" t="s">
        <v>123</v>
      </c>
      <c r="B17" s="2" t="n">
        <v>2009</v>
      </c>
      <c r="C17" s="2" t="s">
        <v>85</v>
      </c>
      <c r="D17" s="2" t="s">
        <v>86</v>
      </c>
      <c r="E17" s="2" t="n">
        <v>109</v>
      </c>
      <c r="F17" s="2" t="s">
        <v>124</v>
      </c>
      <c r="G17" s="2" t="s">
        <v>97</v>
      </c>
      <c r="H17" s="2" t="s">
        <v>108</v>
      </c>
      <c r="I17" s="2" t="n">
        <v>2</v>
      </c>
      <c r="J17" s="2" t="s">
        <v>89</v>
      </c>
      <c r="K17" s="2" t="n">
        <v>52.4380473331475</v>
      </c>
      <c r="L17" s="2" t="n">
        <v>0.9686</v>
      </c>
      <c r="M17" s="2" t="n">
        <v>2.31</v>
      </c>
      <c r="N17" s="2" t="n">
        <v>8.56</v>
      </c>
      <c r="O17" s="2" t="n">
        <v>0.2397</v>
      </c>
      <c r="P17" s="2" t="n">
        <v>17.8455451249666</v>
      </c>
      <c r="Q17" s="2" t="n">
        <v>16.554869537007</v>
      </c>
      <c r="R17" s="2" t="n">
        <v>0.2024</v>
      </c>
      <c r="S17" s="2" t="n">
        <v>0</v>
      </c>
      <c r="T17" s="2" t="n">
        <v>0.1379</v>
      </c>
      <c r="U17" s="2" t="n">
        <v>99.2570619951211</v>
      </c>
      <c r="V17" s="2" t="n">
        <v>2.67996207040511</v>
      </c>
      <c r="W17" s="2" t="n">
        <v>1.95393573961476</v>
      </c>
      <c r="X17" s="2" t="n">
        <v>0.0271522748616666</v>
      </c>
      <c r="Y17" s="2" t="n">
        <v>0.101444963965987</v>
      </c>
      <c r="Z17" s="2" t="n">
        <v>0.266750881573413</v>
      </c>
      <c r="AA17" s="2" t="n">
        <v>0.991298094939881</v>
      </c>
      <c r="AB17" s="2" t="n">
        <v>0.660942370497575</v>
      </c>
      <c r="AC17" s="2" t="n">
        <v>0.0146223960239392</v>
      </c>
      <c r="AD17" s="2" t="n">
        <v>0</v>
      </c>
      <c r="AE17" s="2" t="n">
        <v>0.00406239218890962</v>
      </c>
      <c r="AF17" s="2" t="n">
        <v>0.00756494151530763</v>
      </c>
      <c r="AG17" s="2" t="n">
        <v>0.516572467345402</v>
      </c>
      <c r="AH17" s="2" t="n">
        <v>0.13900577612761</v>
      </c>
      <c r="AI17" s="2" t="n">
        <v>0.344421756526989</v>
      </c>
      <c r="AJ17" s="2" t="n">
        <v>78.7964628918727</v>
      </c>
      <c r="AK17" s="2"/>
      <c r="AL17" s="2"/>
      <c r="AM17" s="2"/>
      <c r="AN17" s="2"/>
      <c r="AO17" s="2"/>
      <c r="AP17" s="2" t="n">
        <v>0.160183259991338</v>
      </c>
      <c r="AQ17" s="2" t="n">
        <v>0</v>
      </c>
      <c r="AR17" s="2" t="n">
        <v>0.410930097249677</v>
      </c>
      <c r="AS17" s="2" t="n">
        <v>1140.74194335938</v>
      </c>
      <c r="AT17" s="2" t="n">
        <v>1135.44490966797</v>
      </c>
      <c r="AU17" s="2" t="n">
        <v>1147.29694824219</v>
      </c>
      <c r="AV17" s="2" t="n">
        <v>0.562410865897069</v>
      </c>
      <c r="AW17" s="2" t="n">
        <v>0</v>
      </c>
      <c r="AX17" s="2" t="n">
        <v>1.43967256351192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customFormat="false" ht="15" hidden="false" customHeight="false" outlineLevel="0" collapsed="false">
      <c r="A18" s="2" t="s">
        <v>125</v>
      </c>
      <c r="B18" s="2" t="n">
        <v>2009</v>
      </c>
      <c r="C18" s="2" t="s">
        <v>85</v>
      </c>
      <c r="D18" s="2" t="s">
        <v>86</v>
      </c>
      <c r="E18" s="2" t="n">
        <v>110</v>
      </c>
      <c r="F18" s="2" t="s">
        <v>126</v>
      </c>
      <c r="G18" s="2" t="s">
        <v>93</v>
      </c>
      <c r="H18" s="2" t="s">
        <v>108</v>
      </c>
      <c r="I18" s="2" t="n">
        <v>2</v>
      </c>
      <c r="J18" s="2" t="s">
        <v>89</v>
      </c>
      <c r="K18" s="2" t="n">
        <v>50.8779902627756</v>
      </c>
      <c r="L18" s="2" t="n">
        <v>1.76</v>
      </c>
      <c r="M18" s="2" t="n">
        <v>2.74</v>
      </c>
      <c r="N18" s="2" t="n">
        <v>9.58</v>
      </c>
      <c r="O18" s="2" t="n">
        <v>0.236</v>
      </c>
      <c r="P18" s="2" t="n">
        <v>15.373562880835</v>
      </c>
      <c r="Q18" s="2" t="n">
        <v>18.4495887094505</v>
      </c>
      <c r="R18" s="2" t="n">
        <v>0.318</v>
      </c>
      <c r="S18" s="2" t="n">
        <v>0.0763</v>
      </c>
      <c r="T18" s="2" t="n">
        <v>0.0439</v>
      </c>
      <c r="U18" s="2" t="n">
        <v>99.455341853061</v>
      </c>
      <c r="V18" s="2" t="n">
        <v>2.6281042959865</v>
      </c>
      <c r="W18" s="2" t="n">
        <v>1.93321325700217</v>
      </c>
      <c r="X18" s="2" t="n">
        <v>0.0503107134198971</v>
      </c>
      <c r="Y18" s="2" t="n">
        <v>0.122702984584026</v>
      </c>
      <c r="Z18" s="2" t="n">
        <v>0.304427344320609</v>
      </c>
      <c r="AA18" s="2" t="n">
        <v>0.870833309707918</v>
      </c>
      <c r="AB18" s="2" t="n">
        <v>0.75112215403171</v>
      </c>
      <c r="AC18" s="2" t="n">
        <v>0.0234272442264271</v>
      </c>
      <c r="AD18" s="2" t="n">
        <v>0.00369858272946134</v>
      </c>
      <c r="AE18" s="2" t="n">
        <v>0.00131876725138602</v>
      </c>
      <c r="AF18" s="2" t="n">
        <v>0.00759513670436439</v>
      </c>
      <c r="AG18" s="2" t="n">
        <v>0.452056209214616</v>
      </c>
      <c r="AH18" s="2" t="n">
        <v>0.158030555010585</v>
      </c>
      <c r="AI18" s="2" t="n">
        <v>0.389913235774799</v>
      </c>
      <c r="AJ18" s="2" t="n">
        <v>74.0970359828604</v>
      </c>
      <c r="AK18" s="2"/>
      <c r="AL18" s="2"/>
      <c r="AM18" s="2"/>
      <c r="AN18" s="2"/>
      <c r="AO18" s="2"/>
      <c r="AP18" s="2" t="n">
        <v>0</v>
      </c>
      <c r="AQ18" s="2" t="n">
        <v>0</v>
      </c>
      <c r="AR18" s="2" t="n">
        <v>0.106343017112876</v>
      </c>
      <c r="AS18" s="2" t="n">
        <v>1104.48315429688</v>
      </c>
      <c r="AT18" s="2" t="n">
        <v>1101.76195983887</v>
      </c>
      <c r="AU18" s="2" t="n">
        <v>1106.29218139648</v>
      </c>
      <c r="AV18" s="2" t="n">
        <v>0</v>
      </c>
      <c r="AW18" s="2" t="n">
        <v>0</v>
      </c>
      <c r="AX18" s="2" t="n">
        <v>0.373548756097313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customFormat="false" ht="15" hidden="false" customHeight="false" outlineLevel="0" collapsed="false">
      <c r="A19" s="2" t="s">
        <v>127</v>
      </c>
      <c r="B19" s="2" t="n">
        <v>2009</v>
      </c>
      <c r="C19" s="2" t="s">
        <v>85</v>
      </c>
      <c r="D19" s="2" t="s">
        <v>86</v>
      </c>
      <c r="E19" s="2" t="n">
        <v>111</v>
      </c>
      <c r="F19" s="2" t="s">
        <v>128</v>
      </c>
      <c r="G19" s="2" t="s">
        <v>88</v>
      </c>
      <c r="H19" s="2" t="s">
        <v>108</v>
      </c>
      <c r="I19" s="2" t="n">
        <v>2</v>
      </c>
      <c r="J19" s="2" t="s">
        <v>89</v>
      </c>
      <c r="K19" s="2" t="n">
        <v>49.0763759686041</v>
      </c>
      <c r="L19" s="2" t="n">
        <v>1.81</v>
      </c>
      <c r="M19" s="2" t="n">
        <v>4.91</v>
      </c>
      <c r="N19" s="2" t="n">
        <v>10.42</v>
      </c>
      <c r="O19" s="2" t="n">
        <v>0.229</v>
      </c>
      <c r="P19" s="2" t="n">
        <v>14.2015872352108</v>
      </c>
      <c r="Q19" s="2" t="n">
        <v>17.1673040169887</v>
      </c>
      <c r="R19" s="2" t="n">
        <v>0.427</v>
      </c>
      <c r="S19" s="2" t="n">
        <v>0.1134</v>
      </c>
      <c r="T19" s="2" t="n">
        <v>0.048</v>
      </c>
      <c r="U19" s="2" t="n">
        <v>98.4026672208036</v>
      </c>
      <c r="V19" s="2" t="n">
        <v>2.59386426063635</v>
      </c>
      <c r="W19" s="2" t="n">
        <v>1.88937277255382</v>
      </c>
      <c r="X19" s="2" t="n">
        <v>0.0524229834736507</v>
      </c>
      <c r="Y19" s="2" t="n">
        <v>0.222782671061734</v>
      </c>
      <c r="Z19" s="2" t="n">
        <v>0.335491267072927</v>
      </c>
      <c r="AA19" s="2" t="n">
        <v>0.815065931706293</v>
      </c>
      <c r="AB19" s="2" t="n">
        <v>0.70814359513582</v>
      </c>
      <c r="AC19" s="2" t="n">
        <v>0.0318725866829199</v>
      </c>
      <c r="AD19" s="2" t="n">
        <v>0.00556953842879746</v>
      </c>
      <c r="AE19" s="2" t="n">
        <v>0.00146096637955943</v>
      </c>
      <c r="AF19" s="2" t="n">
        <v>0.00746714225951785</v>
      </c>
      <c r="AG19" s="2" t="n">
        <v>0.438513791124764</v>
      </c>
      <c r="AH19" s="2" t="n">
        <v>0.180497726245799</v>
      </c>
      <c r="AI19" s="2" t="n">
        <v>0.380988482629437</v>
      </c>
      <c r="AJ19" s="2" t="n">
        <v>70.8409744922813</v>
      </c>
      <c r="AK19" s="2"/>
      <c r="AL19" s="2"/>
      <c r="AM19" s="2"/>
      <c r="AN19" s="2"/>
      <c r="AO19" s="2"/>
      <c r="AP19" s="2" t="n">
        <v>4.818582645216</v>
      </c>
      <c r="AQ19" s="2" t="n">
        <v>4.54642376021386</v>
      </c>
      <c r="AR19" s="2" t="n">
        <v>5.19526617840768</v>
      </c>
      <c r="AS19" s="2" t="n">
        <v>1106.12744140625</v>
      </c>
      <c r="AT19" s="2" t="n">
        <v>1103.26135864258</v>
      </c>
      <c r="AU19" s="2" t="n">
        <v>1109.8350402832</v>
      </c>
      <c r="AV19" s="2" t="n">
        <v>16.238126939439</v>
      </c>
      <c r="AW19" s="2" t="n">
        <v>15.3584712376106</v>
      </c>
      <c r="AX19" s="2" t="n">
        <v>17.448215399529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customFormat="false" ht="15" hidden="false" customHeight="false" outlineLevel="0" collapsed="false">
      <c r="A20" s="2" t="s">
        <v>129</v>
      </c>
      <c r="B20" s="2" t="n">
        <v>2009</v>
      </c>
      <c r="C20" s="2" t="s">
        <v>85</v>
      </c>
      <c r="D20" s="2" t="s">
        <v>86</v>
      </c>
      <c r="E20" s="2" t="n">
        <v>112</v>
      </c>
      <c r="F20" s="2" t="s">
        <v>130</v>
      </c>
      <c r="G20" s="2" t="s">
        <v>97</v>
      </c>
      <c r="H20" s="2" t="s">
        <v>108</v>
      </c>
      <c r="I20" s="2" t="n">
        <v>2</v>
      </c>
      <c r="J20" s="2" t="s">
        <v>89</v>
      </c>
      <c r="K20" s="2" t="n">
        <v>48.0195631144812</v>
      </c>
      <c r="L20" s="2" t="n">
        <v>2.54</v>
      </c>
      <c r="M20" s="2" t="n">
        <v>4.87</v>
      </c>
      <c r="N20" s="2" t="n">
        <v>8.74</v>
      </c>
      <c r="O20" s="2" t="n">
        <v>0.1563</v>
      </c>
      <c r="P20" s="2" t="n">
        <v>13.7091604933519</v>
      </c>
      <c r="Q20" s="2" t="n">
        <v>20.717510143133</v>
      </c>
      <c r="R20" s="2" t="n">
        <v>0.3433</v>
      </c>
      <c r="S20" s="2" t="n">
        <v>0.003</v>
      </c>
      <c r="T20" s="2" t="n">
        <v>0.0674</v>
      </c>
      <c r="U20" s="2" t="n">
        <v>99.166233750966</v>
      </c>
      <c r="V20" s="2" t="n">
        <v>2.58205275349186</v>
      </c>
      <c r="W20" s="2" t="n">
        <v>1.85714368724784</v>
      </c>
      <c r="X20" s="2" t="n">
        <v>0.0739024795139833</v>
      </c>
      <c r="Y20" s="2" t="n">
        <v>0.221978549908357</v>
      </c>
      <c r="Z20" s="2" t="n">
        <v>0.282687801186995</v>
      </c>
      <c r="AA20" s="2" t="n">
        <v>0.790403491391411</v>
      </c>
      <c r="AB20" s="2" t="n">
        <v>0.858497288389454</v>
      </c>
      <c r="AC20" s="2" t="n">
        <v>0.0257421830150585</v>
      </c>
      <c r="AD20" s="2" t="n">
        <v>0.000148016298448592</v>
      </c>
      <c r="AE20" s="2" t="n">
        <v>0.00206082453088198</v>
      </c>
      <c r="AF20" s="2" t="n">
        <v>0.00511988322083918</v>
      </c>
      <c r="AG20" s="2" t="n">
        <v>0.409198676767578</v>
      </c>
      <c r="AH20" s="2" t="n">
        <v>0.146349902858376</v>
      </c>
      <c r="AI20" s="2" t="n">
        <v>0.444451420374046</v>
      </c>
      <c r="AJ20" s="2" t="n">
        <v>73.656686701114</v>
      </c>
      <c r="AK20" s="2"/>
      <c r="AL20" s="2"/>
      <c r="AM20" s="2"/>
      <c r="AN20" s="2"/>
      <c r="AO20" s="2"/>
      <c r="AP20" s="2" t="n">
        <v>1.51942416826512</v>
      </c>
      <c r="AQ20" s="2" t="n">
        <v>1.3250665048721</v>
      </c>
      <c r="AR20" s="2" t="n">
        <v>1.77462892333295</v>
      </c>
      <c r="AS20" s="2" t="n">
        <v>1094.62377929688</v>
      </c>
      <c r="AT20" s="2" t="n">
        <v>1092.42599487305</v>
      </c>
      <c r="AU20" s="2" t="n">
        <v>1096.48444824219</v>
      </c>
      <c r="AV20" s="2" t="n">
        <v>5.27219134416916</v>
      </c>
      <c r="AW20" s="2" t="n">
        <v>4.6056005468371</v>
      </c>
      <c r="AX20" s="2" t="n">
        <v>6.14399380473575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customFormat="false" ht="15" hidden="false" customHeight="false" outlineLevel="0" collapsed="false">
      <c r="A21" s="2" t="s">
        <v>131</v>
      </c>
      <c r="B21" s="2" t="n">
        <v>2009</v>
      </c>
      <c r="C21" s="2" t="s">
        <v>85</v>
      </c>
      <c r="D21" s="2" t="s">
        <v>86</v>
      </c>
      <c r="E21" s="2" t="n">
        <v>113</v>
      </c>
      <c r="F21" s="2" t="s">
        <v>132</v>
      </c>
      <c r="G21" s="2" t="s">
        <v>93</v>
      </c>
      <c r="H21" s="2" t="s">
        <v>108</v>
      </c>
      <c r="I21" s="2" t="n">
        <v>2</v>
      </c>
      <c r="J21" s="2" t="s">
        <v>89</v>
      </c>
      <c r="K21" s="2" t="n">
        <v>52.2870740682728</v>
      </c>
      <c r="L21" s="2" t="n">
        <v>1.0264</v>
      </c>
      <c r="M21" s="2" t="n">
        <v>2.15</v>
      </c>
      <c r="N21" s="2" t="n">
        <v>8</v>
      </c>
      <c r="O21" s="2" t="n">
        <v>0.2032</v>
      </c>
      <c r="P21" s="2" t="n">
        <v>17.6091802888744</v>
      </c>
      <c r="Q21" s="2" t="n">
        <v>17.7031841869728</v>
      </c>
      <c r="R21" s="2" t="n">
        <v>0.2179</v>
      </c>
      <c r="S21" s="2" t="n">
        <v>0</v>
      </c>
      <c r="T21" s="2" t="n">
        <v>0.1723</v>
      </c>
      <c r="U21" s="2" t="n">
        <v>99.36923854412</v>
      </c>
      <c r="V21" s="2" t="n">
        <v>2.67746174607039</v>
      </c>
      <c r="W21" s="2" t="n">
        <v>1.95012961737361</v>
      </c>
      <c r="X21" s="2" t="n">
        <v>0.0287994220830105</v>
      </c>
      <c r="Y21" s="2" t="n">
        <v>0.094506644824076</v>
      </c>
      <c r="Z21" s="2" t="n">
        <v>0.249532695851544</v>
      </c>
      <c r="AA21" s="2" t="n">
        <v>0.979081772814076</v>
      </c>
      <c r="AB21" s="2" t="n">
        <v>0.707448111955288</v>
      </c>
      <c r="AC21" s="2" t="n">
        <v>0.015756894849325</v>
      </c>
      <c r="AD21" s="2" t="n">
        <v>0</v>
      </c>
      <c r="AE21" s="2" t="n">
        <v>0.00508052078697386</v>
      </c>
      <c r="AF21" s="2" t="n">
        <v>0.00641898879064072</v>
      </c>
      <c r="AG21" s="2" t="n">
        <v>0.505707709355179</v>
      </c>
      <c r="AH21" s="2" t="n">
        <v>0.128886689071547</v>
      </c>
      <c r="AI21" s="2" t="n">
        <v>0.365405601573274</v>
      </c>
      <c r="AJ21" s="2" t="n">
        <v>79.689910690816</v>
      </c>
      <c r="AK21" s="2"/>
      <c r="AL21" s="2"/>
      <c r="AM21" s="2"/>
      <c r="AN21" s="2"/>
      <c r="AO21" s="2"/>
      <c r="AP21" s="2" t="n">
        <v>0.0873314184325178</v>
      </c>
      <c r="AQ21" s="2" t="n">
        <v>0</v>
      </c>
      <c r="AR21" s="2" t="n">
        <v>0.365908969678207</v>
      </c>
      <c r="AS21" s="2" t="n">
        <v>1146.08288574219</v>
      </c>
      <c r="AT21" s="2" t="n">
        <v>1140.93983764648</v>
      </c>
      <c r="AU21" s="2" t="n">
        <v>1148.27998962402</v>
      </c>
      <c r="AV21" s="2" t="n">
        <v>0.306817442734533</v>
      </c>
      <c r="AW21" s="2" t="n">
        <v>0</v>
      </c>
      <c r="AX21" s="2" t="n">
        <v>1.28244249845665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customFormat="false" ht="15" hidden="false" customHeight="false" outlineLevel="0" collapsed="false">
      <c r="A22" s="2" t="s">
        <v>133</v>
      </c>
      <c r="B22" s="2" t="n">
        <v>2009</v>
      </c>
      <c r="C22" s="2" t="s">
        <v>85</v>
      </c>
      <c r="D22" s="2" t="s">
        <v>86</v>
      </c>
      <c r="E22" s="2" t="n">
        <v>114</v>
      </c>
      <c r="F22" s="2" t="s">
        <v>134</v>
      </c>
      <c r="G22" s="2" t="s">
        <v>88</v>
      </c>
      <c r="H22" s="2" t="s">
        <v>108</v>
      </c>
      <c r="I22" s="2" t="n">
        <v>2</v>
      </c>
      <c r="J22" s="2" t="s">
        <v>89</v>
      </c>
      <c r="K22" s="2" t="n">
        <v>51.7637000833739</v>
      </c>
      <c r="L22" s="2" t="n">
        <v>1.164</v>
      </c>
      <c r="M22" s="2" t="n">
        <v>2.62</v>
      </c>
      <c r="N22" s="2" t="n">
        <v>8.64</v>
      </c>
      <c r="O22" s="2" t="n">
        <v>0.2148</v>
      </c>
      <c r="P22" s="2" t="n">
        <v>16.5455385264591</v>
      </c>
      <c r="Q22" s="2" t="n">
        <v>18.1433714694596</v>
      </c>
      <c r="R22" s="2" t="n">
        <v>0.2687</v>
      </c>
      <c r="S22" s="2" t="n">
        <v>0.0208</v>
      </c>
      <c r="T22" s="2" t="n">
        <v>0.0867</v>
      </c>
      <c r="U22" s="2" t="n">
        <v>99.4676100792926</v>
      </c>
      <c r="V22" s="2" t="n">
        <v>2.66375102554616</v>
      </c>
      <c r="W22" s="2" t="n">
        <v>1.94054668482652</v>
      </c>
      <c r="X22" s="2" t="n">
        <v>0.0328284028750802</v>
      </c>
      <c r="Y22" s="2" t="n">
        <v>0.115759014604235</v>
      </c>
      <c r="Z22" s="2" t="n">
        <v>0.270882443749146</v>
      </c>
      <c r="AA22" s="2" t="n">
        <v>0.924677685987116</v>
      </c>
      <c r="AB22" s="2" t="n">
        <v>0.728770595157726</v>
      </c>
      <c r="AC22" s="2" t="n">
        <v>0.0195303810944976</v>
      </c>
      <c r="AD22" s="2" t="n">
        <v>0.000994770964698043</v>
      </c>
      <c r="AE22" s="2" t="n">
        <v>0.00256963652857103</v>
      </c>
      <c r="AF22" s="2" t="n">
        <v>0.00682035272417095</v>
      </c>
      <c r="AG22" s="2" t="n">
        <v>0.480519109332445</v>
      </c>
      <c r="AH22" s="2" t="n">
        <v>0.140767093849769</v>
      </c>
      <c r="AI22" s="2" t="n">
        <v>0.378713796817787</v>
      </c>
      <c r="AJ22" s="2" t="n">
        <v>77.3426332133624</v>
      </c>
      <c r="AK22" s="2"/>
      <c r="AL22" s="2"/>
      <c r="AM22" s="2"/>
      <c r="AN22" s="2"/>
      <c r="AO22" s="2"/>
      <c r="AP22" s="2" t="n">
        <v>0</v>
      </c>
      <c r="AQ22" s="2" t="n">
        <v>0</v>
      </c>
      <c r="AR22" s="2" t="n">
        <v>0.12512849432374</v>
      </c>
      <c r="AS22" s="2" t="n">
        <v>1122.57873535156</v>
      </c>
      <c r="AT22" s="2" t="n">
        <v>1118.42646789551</v>
      </c>
      <c r="AU22" s="2" t="n">
        <v>1129.91045227051</v>
      </c>
      <c r="AV22" s="2" t="n">
        <v>0</v>
      </c>
      <c r="AW22" s="2" t="n">
        <v>0</v>
      </c>
      <c r="AX22" s="2" t="n">
        <v>0.439464861848059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customFormat="false" ht="15" hidden="false" customHeight="false" outlineLevel="0" collapsed="false">
      <c r="A23" s="2" t="s">
        <v>135</v>
      </c>
      <c r="B23" s="2" t="n">
        <v>2009</v>
      </c>
      <c r="C23" s="2" t="s">
        <v>85</v>
      </c>
      <c r="D23" s="2" t="s">
        <v>86</v>
      </c>
      <c r="E23" s="2" t="n">
        <v>116</v>
      </c>
      <c r="F23" s="2" t="s">
        <v>136</v>
      </c>
      <c r="G23" s="2" t="s">
        <v>88</v>
      </c>
      <c r="H23" s="2" t="s">
        <v>108</v>
      </c>
      <c r="I23" s="2" t="n">
        <v>1</v>
      </c>
      <c r="J23" s="2" t="s">
        <v>89</v>
      </c>
      <c r="K23" s="2" t="n">
        <v>48.7039752485798</v>
      </c>
      <c r="L23" s="2" t="n">
        <v>1.85</v>
      </c>
      <c r="M23" s="2" t="n">
        <v>5.42</v>
      </c>
      <c r="N23" s="2" t="n">
        <v>7.29</v>
      </c>
      <c r="O23" s="2" t="n">
        <v>0.1412</v>
      </c>
      <c r="P23" s="2" t="n">
        <v>14.6841654422325</v>
      </c>
      <c r="Q23" s="2" t="n">
        <v>20.1720606843992</v>
      </c>
      <c r="R23" s="2" t="n">
        <v>0.3276</v>
      </c>
      <c r="S23" s="2" t="n">
        <v>0</v>
      </c>
      <c r="T23" s="2" t="n">
        <v>0.4036</v>
      </c>
      <c r="U23" s="2" t="n">
        <v>98.9926013752115</v>
      </c>
      <c r="V23" s="2" t="n">
        <v>2.66776492912101</v>
      </c>
      <c r="W23" s="2" t="n">
        <v>1.82309484912493</v>
      </c>
      <c r="X23" s="2" t="n">
        <v>0.0520972229251958</v>
      </c>
      <c r="Y23" s="2" t="n">
        <v>0.239110632029249</v>
      </c>
      <c r="Z23" s="2" t="n">
        <v>0.228213176289141</v>
      </c>
      <c r="AA23" s="2" t="n">
        <v>0.819416698927051</v>
      </c>
      <c r="AB23" s="2" t="n">
        <v>0.80903849376332</v>
      </c>
      <c r="AC23" s="2" t="n">
        <v>0.023775683747854</v>
      </c>
      <c r="AD23" s="2" t="n">
        <v>0</v>
      </c>
      <c r="AE23" s="2" t="n">
        <v>0.01194400092656</v>
      </c>
      <c r="AF23" s="2" t="n">
        <v>0.00447665190688699</v>
      </c>
      <c r="AG23" s="2" t="n">
        <v>0.441337135170472</v>
      </c>
      <c r="AH23" s="2" t="n">
        <v>0.122915422108782</v>
      </c>
      <c r="AI23" s="2" t="n">
        <v>0.435747442720746</v>
      </c>
      <c r="AJ23" s="2" t="n">
        <v>78.2162401351865</v>
      </c>
      <c r="AK23" s="2" t="n">
        <v>0.176896703004676</v>
      </c>
      <c r="AL23" s="2" t="n">
        <v>0.0622162309044454</v>
      </c>
      <c r="AM23" s="2" t="n">
        <v>0.0237759509938663</v>
      </c>
      <c r="AN23" s="2" t="n">
        <v>0.0384402799105791</v>
      </c>
      <c r="AO23" s="2" t="n">
        <v>0.0692282115470486</v>
      </c>
      <c r="AP23" s="2" t="n">
        <v>2.38941938588722</v>
      </c>
      <c r="AQ23" s="2" t="n">
        <v>1.62785793254479</v>
      </c>
      <c r="AR23" s="2" t="n">
        <v>3.37011227319344</v>
      </c>
      <c r="AS23" s="2" t="n">
        <v>1125.6611328125</v>
      </c>
      <c r="AT23" s="2" t="n">
        <v>1116.81430969238</v>
      </c>
      <c r="AU23" s="2" t="n">
        <v>1128.83493041992</v>
      </c>
      <c r="AV23" s="2" t="n">
        <v>8.22796707129078</v>
      </c>
      <c r="AW23" s="2" t="n">
        <v>5.64309308514318</v>
      </c>
      <c r="AX23" s="2" t="n">
        <v>11.5048407422828</v>
      </c>
      <c r="AY23" s="2" t="n">
        <v>3.49185740453903</v>
      </c>
      <c r="AZ23" s="2" t="n">
        <v>0.188868614241426</v>
      </c>
      <c r="BA23" s="2" t="n">
        <v>3.01850473811342</v>
      </c>
      <c r="BB23" s="2" t="n">
        <v>3.99019088825781</v>
      </c>
      <c r="BC23" s="2" t="n">
        <v>1459.0928613588</v>
      </c>
      <c r="BD23" s="2" t="n">
        <v>3.68559880951425</v>
      </c>
      <c r="BE23" s="2" t="n">
        <v>9</v>
      </c>
      <c r="BF23" s="2" t="n">
        <v>9</v>
      </c>
      <c r="BG23" s="2" t="n">
        <v>11.9075714841697</v>
      </c>
      <c r="BH23" s="2" t="n">
        <v>0.662962318802033</v>
      </c>
      <c r="BI23" s="2" t="n">
        <v>10.3366862718564</v>
      </c>
      <c r="BJ23" s="2" t="n">
        <v>13.5466869572861</v>
      </c>
      <c r="BK23" s="2" t="n">
        <v>1.79108804883579</v>
      </c>
      <c r="BL23" s="2" t="n">
        <v>1.33275408003817</v>
      </c>
      <c r="BM23" s="2" t="n">
        <v>2.2013166816059</v>
      </c>
      <c r="BN23" s="2" t="n">
        <v>9000</v>
      </c>
      <c r="BO23" s="2" t="n">
        <v>1157.02923583984</v>
      </c>
      <c r="BP23" s="2" t="n">
        <v>1145.77681274414</v>
      </c>
      <c r="BQ23" s="2" t="n">
        <v>1161.09108276367</v>
      </c>
      <c r="BR23" s="2" t="n">
        <v>9000</v>
      </c>
      <c r="BS23" s="2" t="n">
        <v>6.20008418002168</v>
      </c>
      <c r="BT23" s="2" t="n">
        <v>4.63201019683911</v>
      </c>
      <c r="BU23" s="2" t="n">
        <v>7.59278172833689</v>
      </c>
      <c r="BV23" s="2" t="n">
        <v>48.26</v>
      </c>
      <c r="BW23" s="2" t="n">
        <v>3.66</v>
      </c>
      <c r="BX23" s="2" t="n">
        <v>13.59</v>
      </c>
      <c r="BY23" s="2" t="n">
        <v>12.44</v>
      </c>
      <c r="BZ23" s="2" t="n">
        <v>0.2</v>
      </c>
      <c r="CA23" s="2" t="n">
        <v>6.41</v>
      </c>
      <c r="CB23" s="2" t="n">
        <v>11.52</v>
      </c>
      <c r="CC23" s="2" t="n">
        <v>3.18</v>
      </c>
      <c r="CD23" s="2" t="n">
        <v>0.46</v>
      </c>
      <c r="CE23" s="2" t="n">
        <v>0.3</v>
      </c>
      <c r="CF23" s="2" t="n">
        <v>0.15</v>
      </c>
    </row>
    <row r="24" customFormat="false" ht="15" hidden="false" customHeight="false" outlineLevel="0" collapsed="false">
      <c r="A24" s="2" t="s">
        <v>137</v>
      </c>
      <c r="B24" s="2" t="n">
        <v>2009</v>
      </c>
      <c r="C24" s="2" t="s">
        <v>85</v>
      </c>
      <c r="D24" s="2" t="s">
        <v>86</v>
      </c>
      <c r="E24" s="2" t="n">
        <v>117</v>
      </c>
      <c r="F24" s="2" t="s">
        <v>138</v>
      </c>
      <c r="G24" s="2" t="s">
        <v>88</v>
      </c>
      <c r="H24" s="2" t="s">
        <v>108</v>
      </c>
      <c r="I24" s="2" t="n">
        <v>1</v>
      </c>
      <c r="J24" s="2" t="s">
        <v>89</v>
      </c>
      <c r="K24" s="2" t="n">
        <v>48.8247538604796</v>
      </c>
      <c r="L24" s="2" t="n">
        <v>2.18</v>
      </c>
      <c r="M24" s="2" t="n">
        <v>4.85</v>
      </c>
      <c r="N24" s="2" t="n">
        <v>7.21</v>
      </c>
      <c r="O24" s="2" t="n">
        <v>0.1705</v>
      </c>
      <c r="P24" s="2" t="n">
        <v>14.4871947454889</v>
      </c>
      <c r="Q24" s="2" t="n">
        <v>20.7749258756313</v>
      </c>
      <c r="R24" s="2" t="n">
        <v>0.3086</v>
      </c>
      <c r="S24" s="2" t="n">
        <v>0</v>
      </c>
      <c r="T24" s="2" t="n">
        <v>0.4066</v>
      </c>
      <c r="U24" s="2" t="n">
        <v>99.2125744815998</v>
      </c>
      <c r="V24" s="2" t="n">
        <v>2.66819378726028</v>
      </c>
      <c r="W24" s="2" t="n">
        <v>1.82732210083842</v>
      </c>
      <c r="X24" s="2" t="n">
        <v>0.0613803738300752</v>
      </c>
      <c r="Y24" s="2" t="n">
        <v>0.21392992051696</v>
      </c>
      <c r="Z24" s="2" t="n">
        <v>0.22567250117556</v>
      </c>
      <c r="AA24" s="2" t="n">
        <v>0.808295255926229</v>
      </c>
      <c r="AB24" s="2" t="n">
        <v>0.833083615079302</v>
      </c>
      <c r="AC24" s="2" t="n">
        <v>0.0223931523262237</v>
      </c>
      <c r="AD24" s="2" t="n">
        <v>0</v>
      </c>
      <c r="AE24" s="2" t="n">
        <v>0.0120308478785933</v>
      </c>
      <c r="AF24" s="2" t="n">
        <v>0.0054047200429118</v>
      </c>
      <c r="AG24" s="2" t="n">
        <v>0.432926092966568</v>
      </c>
      <c r="AH24" s="2" t="n">
        <v>0.12087107218262</v>
      </c>
      <c r="AI24" s="2" t="n">
        <v>0.446202834850813</v>
      </c>
      <c r="AJ24" s="2" t="n">
        <v>78.1741258733135</v>
      </c>
      <c r="AK24" s="2" t="n">
        <v>0.172668454503486</v>
      </c>
      <c r="AL24" s="2" t="n">
        <v>0.0412636398868127</v>
      </c>
      <c r="AM24" s="2" t="n">
        <v>0.0223934160074513</v>
      </c>
      <c r="AN24" s="2" t="n">
        <v>0.0188702238793614</v>
      </c>
      <c r="AO24" s="2" t="n">
        <v>0.0768991153120621</v>
      </c>
      <c r="AP24" s="2" t="n">
        <v>2.2099716262914</v>
      </c>
      <c r="AQ24" s="2" t="n">
        <v>1.670552797804</v>
      </c>
      <c r="AR24" s="2" t="n">
        <v>2.7121274130441</v>
      </c>
      <c r="AS24" s="2" t="n">
        <v>1123.2001953125</v>
      </c>
      <c r="AT24" s="2" t="n">
        <v>1116.52643127441</v>
      </c>
      <c r="AU24" s="2" t="n">
        <v>1126.57003173828</v>
      </c>
      <c r="AV24" s="2" t="n">
        <v>7.62205481083082</v>
      </c>
      <c r="AW24" s="2" t="n">
        <v>5.78893695829648</v>
      </c>
      <c r="AX24" s="2" t="n">
        <v>9.3126930278528</v>
      </c>
      <c r="AY24" s="2" t="n">
        <v>2.68875380620013</v>
      </c>
      <c r="AZ24" s="2" t="n">
        <v>0.163559788248658</v>
      </c>
      <c r="BA24" s="2" t="n">
        <v>2.24181544016271</v>
      </c>
      <c r="BB24" s="2" t="n">
        <v>3.13900480979126</v>
      </c>
      <c r="BC24" s="2" t="n">
        <v>1443.87978932438</v>
      </c>
      <c r="BD24" s="2" t="n">
        <v>3.0771472151382</v>
      </c>
      <c r="BE24" s="2" t="n">
        <v>5</v>
      </c>
      <c r="BF24" s="2" t="n">
        <v>5</v>
      </c>
      <c r="BG24" s="2" t="n">
        <v>9.23433877719927</v>
      </c>
      <c r="BH24" s="2" t="n">
        <v>0.574249279832198</v>
      </c>
      <c r="BI24" s="2" t="n">
        <v>7.72971909109519</v>
      </c>
      <c r="BJ24" s="2" t="n">
        <v>10.7378704695095</v>
      </c>
      <c r="BK24" s="2" t="n">
        <v>1.20097728588882</v>
      </c>
      <c r="BL24" s="2" t="n">
        <v>0.844543763394059</v>
      </c>
      <c r="BM24" s="2" t="n">
        <v>1.47088678919194</v>
      </c>
      <c r="BN24" s="2" t="n">
        <v>5000</v>
      </c>
      <c r="BO24" s="2" t="n">
        <v>1153.08288574219</v>
      </c>
      <c r="BP24" s="2" t="n">
        <v>1146.31596374512</v>
      </c>
      <c r="BQ24" s="2" t="n">
        <v>1157.97566223145</v>
      </c>
      <c r="BR24" s="2" t="n">
        <v>5000</v>
      </c>
      <c r="BS24" s="2" t="n">
        <v>4.17881294228751</v>
      </c>
      <c r="BT24" s="2" t="n">
        <v>2.94771981641805</v>
      </c>
      <c r="BU24" s="2" t="n">
        <v>5.10593657133736</v>
      </c>
      <c r="BV24" s="2" t="n">
        <v>48.26</v>
      </c>
      <c r="BW24" s="2" t="n">
        <v>3.66</v>
      </c>
      <c r="BX24" s="2" t="n">
        <v>13.59</v>
      </c>
      <c r="BY24" s="2" t="n">
        <v>12.44</v>
      </c>
      <c r="BZ24" s="2" t="n">
        <v>0.2</v>
      </c>
      <c r="CA24" s="2" t="n">
        <v>6.41</v>
      </c>
      <c r="CB24" s="2" t="n">
        <v>11.52</v>
      </c>
      <c r="CC24" s="2" t="n">
        <v>3.18</v>
      </c>
      <c r="CD24" s="2" t="n">
        <v>0.46</v>
      </c>
      <c r="CE24" s="2" t="n">
        <v>0.3</v>
      </c>
      <c r="CF24" s="2" t="n">
        <v>0.15</v>
      </c>
    </row>
    <row r="25" customFormat="false" ht="15" hidden="false" customHeight="false" outlineLevel="0" collapsed="false">
      <c r="A25" s="2" t="s">
        <v>139</v>
      </c>
      <c r="B25" s="2" t="n">
        <v>2009</v>
      </c>
      <c r="C25" s="2" t="s">
        <v>85</v>
      </c>
      <c r="D25" s="2" t="s">
        <v>86</v>
      </c>
      <c r="E25" s="2" t="n">
        <v>118</v>
      </c>
      <c r="F25" s="2" t="s">
        <v>140</v>
      </c>
      <c r="G25" s="2" t="s">
        <v>88</v>
      </c>
      <c r="H25" s="2" t="s">
        <v>108</v>
      </c>
      <c r="I25" s="2" t="n">
        <v>1</v>
      </c>
      <c r="J25" s="2" t="s">
        <v>89</v>
      </c>
      <c r="K25" s="2" t="n">
        <v>52.206554993673</v>
      </c>
      <c r="L25" s="2" t="n">
        <v>0.9987</v>
      </c>
      <c r="M25" s="2" t="n">
        <v>2.18</v>
      </c>
      <c r="N25" s="2" t="n">
        <v>6.95</v>
      </c>
      <c r="O25" s="2" t="n">
        <v>0.1776</v>
      </c>
      <c r="P25" s="2" t="n">
        <v>17.0084196638065</v>
      </c>
      <c r="Q25" s="2" t="n">
        <v>19.540487626918</v>
      </c>
      <c r="R25" s="2" t="n">
        <v>0.2596</v>
      </c>
      <c r="S25" s="2" t="n">
        <v>0</v>
      </c>
      <c r="T25" s="2" t="n">
        <v>0.3495</v>
      </c>
      <c r="U25" s="2" t="n">
        <v>99.6708622843975</v>
      </c>
      <c r="V25" s="2" t="n">
        <v>2.70772650444551</v>
      </c>
      <c r="W25" s="2" t="n">
        <v>1.92536313814866</v>
      </c>
      <c r="X25" s="2" t="n">
        <v>0.0277089875771588</v>
      </c>
      <c r="Y25" s="2" t="n">
        <v>0.0947542846762936</v>
      </c>
      <c r="Z25" s="2" t="n">
        <v>0.21435852239665</v>
      </c>
      <c r="AA25" s="2" t="n">
        <v>0.935109065280164</v>
      </c>
      <c r="AB25" s="2" t="n">
        <v>0.772141828633738</v>
      </c>
      <c r="AC25" s="2" t="n">
        <v>0.0185625045574088</v>
      </c>
      <c r="AD25" s="2" t="n">
        <v>0</v>
      </c>
      <c r="AE25" s="2" t="n">
        <v>0.010190338577264</v>
      </c>
      <c r="AF25" s="2" t="n">
        <v>0.00554758996225925</v>
      </c>
      <c r="AG25" s="2" t="n">
        <v>0.486628061531647</v>
      </c>
      <c r="AH25" s="2" t="n">
        <v>0.111551557031925</v>
      </c>
      <c r="AI25" s="2" t="n">
        <v>0.401820381436428</v>
      </c>
      <c r="AJ25" s="2" t="n">
        <v>81.3514948403296</v>
      </c>
      <c r="AK25" s="2" t="n">
        <v>0.0746301936146439</v>
      </c>
      <c r="AL25" s="2" t="n">
        <v>0.0201248923411006</v>
      </c>
      <c r="AM25" s="2" t="n">
        <v>0.018562691479208</v>
      </c>
      <c r="AN25" s="2" t="n">
        <v>0.00156220086189256</v>
      </c>
      <c r="AO25" s="2" t="n">
        <v>0.0365339963763757</v>
      </c>
      <c r="AP25" s="2" t="n">
        <v>0</v>
      </c>
      <c r="AQ25" s="2" t="n">
        <v>0</v>
      </c>
      <c r="AR25" s="2" t="n">
        <v>0.514637528559251</v>
      </c>
      <c r="AS25" s="2" t="n">
        <v>1102.44616699219</v>
      </c>
      <c r="AT25" s="2" t="n">
        <v>1076.49713134766</v>
      </c>
      <c r="AU25" s="2" t="n">
        <v>1128.15834655762</v>
      </c>
      <c r="AV25" s="2" t="n">
        <v>0</v>
      </c>
      <c r="AW25" s="2" t="n">
        <v>0</v>
      </c>
      <c r="AX25" s="2" t="n">
        <v>1.80138907755168</v>
      </c>
      <c r="AY25" s="2" t="n">
        <v>1.9918517611844</v>
      </c>
      <c r="AZ25" s="2" t="n">
        <v>0.136449712745951</v>
      </c>
      <c r="BA25" s="2" t="n">
        <v>1.38428723201982</v>
      </c>
      <c r="BB25" s="2" t="n">
        <v>2.61090101350004</v>
      </c>
      <c r="BC25" s="2" t="n">
        <v>1453.73883385369</v>
      </c>
      <c r="BD25" s="2" t="n">
        <v>2.50758659942651</v>
      </c>
      <c r="BE25" s="2" t="n">
        <v>73</v>
      </c>
      <c r="BF25" s="2" t="n">
        <v>73</v>
      </c>
      <c r="BG25" s="2" t="n">
        <v>6.88293716196068</v>
      </c>
      <c r="BH25" s="2" t="n">
        <v>0.479179403763001</v>
      </c>
      <c r="BI25" s="2" t="n">
        <v>4.80895306949425</v>
      </c>
      <c r="BJ25" s="2" t="n">
        <v>8.97311770906524</v>
      </c>
      <c r="BK25" s="2" t="n">
        <v>0</v>
      </c>
      <c r="BL25" s="2" t="n">
        <v>0</v>
      </c>
      <c r="BM25" s="2" t="n">
        <v>0.067869879149095</v>
      </c>
      <c r="BN25" s="2" t="n">
        <v>73000</v>
      </c>
      <c r="BO25" s="2" t="n">
        <v>1161.27166748047</v>
      </c>
      <c r="BP25" s="2" t="n">
        <v>1155.9183013916</v>
      </c>
      <c r="BQ25" s="2" t="n">
        <v>1163.99633789063</v>
      </c>
      <c r="BR25" s="2" t="n">
        <v>73000</v>
      </c>
      <c r="BS25" s="2" t="n">
        <v>0</v>
      </c>
      <c r="BT25" s="2" t="n">
        <v>0</v>
      </c>
      <c r="BU25" s="2" t="n">
        <v>0.238484136589283</v>
      </c>
      <c r="BV25" s="2" t="n">
        <v>48.77</v>
      </c>
      <c r="BW25" s="2" t="n">
        <v>3.43</v>
      </c>
      <c r="BX25" s="2" t="n">
        <v>13.84</v>
      </c>
      <c r="BY25" s="2" t="n">
        <v>11.98</v>
      </c>
      <c r="BZ25" s="2" t="n">
        <v>0.17</v>
      </c>
      <c r="CA25" s="2" t="n">
        <v>6.53</v>
      </c>
      <c r="CB25" s="2" t="n">
        <v>11.6</v>
      </c>
      <c r="CC25" s="2" t="n">
        <v>2.96</v>
      </c>
      <c r="CD25" s="2" t="n">
        <v>0.45</v>
      </c>
      <c r="CE25" s="2" t="n">
        <v>0.27</v>
      </c>
      <c r="CF25" s="2" t="n">
        <v>0.15</v>
      </c>
    </row>
    <row r="26" customFormat="false" ht="15" hidden="false" customHeight="false" outlineLevel="0" collapsed="false">
      <c r="A26" s="2" t="s">
        <v>141</v>
      </c>
      <c r="B26" s="2" t="n">
        <v>2009</v>
      </c>
      <c r="C26" s="2" t="s">
        <v>85</v>
      </c>
      <c r="D26" s="2" t="s">
        <v>86</v>
      </c>
      <c r="E26" s="2" t="n">
        <v>119</v>
      </c>
      <c r="F26" s="2" t="s">
        <v>142</v>
      </c>
      <c r="G26" s="2" t="s">
        <v>93</v>
      </c>
      <c r="H26" s="2" t="s">
        <v>89</v>
      </c>
      <c r="I26" s="2" t="n">
        <v>1</v>
      </c>
      <c r="J26" s="2" t="s">
        <v>89</v>
      </c>
      <c r="K26" s="2" t="n">
        <v>51.3711695946996</v>
      </c>
      <c r="L26" s="2" t="n">
        <v>1.2861</v>
      </c>
      <c r="M26" s="2" t="n">
        <v>3.07</v>
      </c>
      <c r="N26" s="2" t="n">
        <v>8.08</v>
      </c>
      <c r="O26" s="2" t="n">
        <v>0.2353</v>
      </c>
      <c r="P26" s="2" t="n">
        <v>16.535689991622</v>
      </c>
      <c r="Q26" s="2" t="n">
        <v>18.2773415119557</v>
      </c>
      <c r="R26" s="2" t="n">
        <v>0.2538</v>
      </c>
      <c r="S26" s="2" t="n">
        <v>0.0076</v>
      </c>
      <c r="T26" s="2" t="n">
        <v>0.1903</v>
      </c>
      <c r="U26" s="2" t="n">
        <v>99.3073010982772</v>
      </c>
      <c r="V26" s="2" t="n">
        <v>2.6924354078836</v>
      </c>
      <c r="W26" s="2" t="n">
        <v>1.90531406450037</v>
      </c>
      <c r="X26" s="2" t="n">
        <v>0.0358855700164404</v>
      </c>
      <c r="Y26" s="2" t="n">
        <v>0.134196207358604</v>
      </c>
      <c r="Z26" s="2" t="n">
        <v>0.250626398700542</v>
      </c>
      <c r="AA26" s="2" t="n">
        <v>0.914281913527071</v>
      </c>
      <c r="AB26" s="2" t="n">
        <v>0.726330384038311</v>
      </c>
      <c r="AC26" s="2" t="n">
        <v>0.0182508462161</v>
      </c>
      <c r="AD26" s="2" t="n">
        <v>0.000359601665574304</v>
      </c>
      <c r="AE26" s="2" t="n">
        <v>0.00558007099909281</v>
      </c>
      <c r="AF26" s="2" t="n">
        <v>0.0073916742984966</v>
      </c>
      <c r="AG26" s="2" t="n">
        <v>0.483430206526673</v>
      </c>
      <c r="AH26" s="2" t="n">
        <v>0.132519707425287</v>
      </c>
      <c r="AI26" s="2" t="n">
        <v>0.38405008604804</v>
      </c>
      <c r="AJ26" s="2" t="n">
        <v>78.4853111554095</v>
      </c>
      <c r="AK26" s="2" t="n">
        <v>0.0946783168260201</v>
      </c>
      <c r="AL26" s="2" t="n">
        <v>0.039519097181167</v>
      </c>
      <c r="AM26" s="2" t="n">
        <v>0.018251039768899</v>
      </c>
      <c r="AN26" s="2" t="n">
        <v>0.021268057412268</v>
      </c>
      <c r="AO26" s="2" t="n">
        <v>0.0367051297068761</v>
      </c>
      <c r="AP26" s="2" t="n">
        <v>0.265081551033528</v>
      </c>
      <c r="AQ26" s="2" t="n">
        <v>0</v>
      </c>
      <c r="AR26" s="2" t="n">
        <v>0.480013903337986</v>
      </c>
      <c r="AS26" s="2" t="n">
        <v>1133.23974609375</v>
      </c>
      <c r="AT26" s="2" t="n">
        <v>1129.48205261231</v>
      </c>
      <c r="AU26" s="2" t="n">
        <v>1137.40724182129</v>
      </c>
      <c r="AV26" s="2" t="n">
        <v>0.92987109794922</v>
      </c>
      <c r="AW26" s="2" t="n">
        <v>0</v>
      </c>
      <c r="AX26" s="2" t="n">
        <v>1.68069935831987</v>
      </c>
      <c r="AY26" s="2" t="n">
        <v>2.22711212619891</v>
      </c>
      <c r="AZ26" s="2" t="n">
        <v>0.167100121982522</v>
      </c>
      <c r="BA26" s="2" t="n">
        <v>1.65968469274316</v>
      </c>
      <c r="BB26" s="2" t="n">
        <v>2.81943761806137</v>
      </c>
      <c r="BC26" s="2" t="n">
        <v>1460.31215574186</v>
      </c>
      <c r="BD26" s="2" t="n">
        <v>3.36616873427167</v>
      </c>
      <c r="BE26" s="2" t="n">
        <v>19</v>
      </c>
      <c r="BF26" s="2" t="n">
        <v>19</v>
      </c>
      <c r="BG26" s="2" t="n">
        <v>7.68001466329607</v>
      </c>
      <c r="BH26" s="2" t="n">
        <v>0.586661268620121</v>
      </c>
      <c r="BI26" s="2" t="n">
        <v>5.7518224468521</v>
      </c>
      <c r="BJ26" s="2" t="n">
        <v>9.67199909833315</v>
      </c>
      <c r="BK26" s="2" t="n">
        <v>0.32889644593018</v>
      </c>
      <c r="BL26" s="2" t="n">
        <v>0</v>
      </c>
      <c r="BM26" s="2" t="n">
        <v>0.872246772756016</v>
      </c>
      <c r="BN26" s="2" t="n">
        <v>19000</v>
      </c>
      <c r="BO26" s="2" t="n">
        <v>1161.63757324219</v>
      </c>
      <c r="BP26" s="2" t="n">
        <v>1152.308984375</v>
      </c>
      <c r="BQ26" s="2" t="n">
        <v>1165.26502990723</v>
      </c>
      <c r="BR26" s="2" t="n">
        <v>19000</v>
      </c>
      <c r="BS26" s="2" t="n">
        <v>1.15308937621991</v>
      </c>
      <c r="BT26" s="2" t="n">
        <v>0</v>
      </c>
      <c r="BU26" s="2" t="n">
        <v>3.0436797510256</v>
      </c>
      <c r="BV26" s="2" t="n">
        <v>48.47</v>
      </c>
      <c r="BW26" s="2" t="n">
        <v>3.55</v>
      </c>
      <c r="BX26" s="2" t="n">
        <v>13.66</v>
      </c>
      <c r="BY26" s="2" t="n">
        <v>12.22</v>
      </c>
      <c r="BZ26" s="2" t="n">
        <v>0.19</v>
      </c>
      <c r="CA26" s="2" t="n">
        <v>6.53</v>
      </c>
      <c r="CB26" s="2" t="n">
        <v>11.51</v>
      </c>
      <c r="CC26" s="2" t="n">
        <v>2.99</v>
      </c>
      <c r="CD26" s="2" t="n">
        <v>0.48</v>
      </c>
      <c r="CE26" s="2" t="n">
        <v>0.41</v>
      </c>
      <c r="CF26" s="2" t="n">
        <v>0.15</v>
      </c>
    </row>
    <row r="27" customFormat="false" ht="15" hidden="false" customHeight="false" outlineLevel="0" collapsed="false">
      <c r="A27" s="2" t="s">
        <v>143</v>
      </c>
      <c r="B27" s="2" t="n">
        <v>2009</v>
      </c>
      <c r="C27" s="2" t="s">
        <v>85</v>
      </c>
      <c r="D27" s="2" t="s">
        <v>86</v>
      </c>
      <c r="E27" s="2" t="n">
        <v>120</v>
      </c>
      <c r="F27" s="2" t="s">
        <v>144</v>
      </c>
      <c r="G27" s="2" t="s">
        <v>93</v>
      </c>
      <c r="H27" s="2" t="s">
        <v>94</v>
      </c>
      <c r="I27" s="2" t="n">
        <v>1</v>
      </c>
      <c r="J27" s="2" t="s">
        <v>89</v>
      </c>
      <c r="K27" s="2" t="n">
        <v>47.586773088507</v>
      </c>
      <c r="L27" s="2" t="n">
        <v>2.43</v>
      </c>
      <c r="M27" s="2" t="n">
        <v>6.12</v>
      </c>
      <c r="N27" s="2" t="n">
        <v>7.69</v>
      </c>
      <c r="O27" s="2" t="n">
        <v>0.1664</v>
      </c>
      <c r="P27" s="2" t="n">
        <v>14.4478006061402</v>
      </c>
      <c r="Q27" s="2" t="n">
        <v>19.8467048669089</v>
      </c>
      <c r="R27" s="2" t="n">
        <v>0.3828</v>
      </c>
      <c r="S27" s="2" t="n">
        <v>0</v>
      </c>
      <c r="T27" s="2" t="n">
        <v>0.5261</v>
      </c>
      <c r="U27" s="2" t="n">
        <v>99.1965785615561</v>
      </c>
      <c r="V27" s="2" t="n">
        <v>2.66326233139514</v>
      </c>
      <c r="W27" s="2" t="n">
        <v>1.78428704471517</v>
      </c>
      <c r="X27" s="2" t="n">
        <v>0.0685460969944194</v>
      </c>
      <c r="Y27" s="2" t="n">
        <v>0.270448536340808</v>
      </c>
      <c r="Z27" s="2" t="n">
        <v>0.241142155946714</v>
      </c>
      <c r="AA27" s="2" t="n">
        <v>0.807589926256998</v>
      </c>
      <c r="AB27" s="2" t="n">
        <v>0.797335211455605</v>
      </c>
      <c r="AC27" s="2" t="n">
        <v>0.0278288117993685</v>
      </c>
      <c r="AD27" s="2" t="n">
        <v>0</v>
      </c>
      <c r="AE27" s="2" t="n">
        <v>0.0155955460365381</v>
      </c>
      <c r="AF27" s="2" t="n">
        <v>0.00528452021651281</v>
      </c>
      <c r="AG27" s="2" t="n">
        <v>0.437465052888822</v>
      </c>
      <c r="AH27" s="2" t="n">
        <v>0.130624791834493</v>
      </c>
      <c r="AI27" s="2" t="n">
        <v>0.431910155276685</v>
      </c>
      <c r="AJ27" s="2" t="n">
        <v>77.0063145736898</v>
      </c>
      <c r="AK27" s="2" t="n">
        <v>0.215703036775895</v>
      </c>
      <c r="AL27" s="2" t="n">
        <v>0.0547483532960703</v>
      </c>
      <c r="AM27" s="2" t="n">
        <v>0.0278291503456243</v>
      </c>
      <c r="AN27" s="2" t="n">
        <v>0.0269192029504459</v>
      </c>
      <c r="AO27" s="2" t="n">
        <v>0.0943919169127245</v>
      </c>
      <c r="AP27" s="2" t="n">
        <v>2.74807749613936</v>
      </c>
      <c r="AQ27" s="2" t="n">
        <v>2.20222855433638</v>
      </c>
      <c r="AR27" s="2" t="n">
        <v>3.34297326430495</v>
      </c>
      <c r="AS27" s="2" t="n">
        <v>1138.07666015625</v>
      </c>
      <c r="AT27" s="2" t="n">
        <v>1128.84635620117</v>
      </c>
      <c r="AU27" s="2" t="n">
        <v>1145.2616027832</v>
      </c>
      <c r="AV27" s="2" t="n">
        <v>9.43314219195532</v>
      </c>
      <c r="AW27" s="2" t="n">
        <v>7.59586611284359</v>
      </c>
      <c r="AX27" s="2" t="n">
        <v>11.4149429515203</v>
      </c>
      <c r="AY27" s="2" t="n">
        <v>4.52689477264986</v>
      </c>
      <c r="AZ27" s="2" t="n">
        <v>0.167570051506891</v>
      </c>
      <c r="BA27" s="2" t="n">
        <v>4.09449442258968</v>
      </c>
      <c r="BB27" s="2" t="n">
        <v>4.91750951185728</v>
      </c>
      <c r="BC27" s="2" t="n">
        <v>1470.61350105928</v>
      </c>
      <c r="BD27" s="2" t="n">
        <v>1.58210484868363</v>
      </c>
      <c r="BE27" s="2" t="n">
        <v>3</v>
      </c>
      <c r="BF27" s="2" t="n">
        <v>3</v>
      </c>
      <c r="BG27" s="2" t="n">
        <v>15.2951782097955</v>
      </c>
      <c r="BH27" s="2" t="n">
        <v>0.588308728511569</v>
      </c>
      <c r="BI27" s="2" t="n">
        <v>13.8878569377115</v>
      </c>
      <c r="BJ27" s="2" t="n">
        <v>16.5567601288231</v>
      </c>
      <c r="BK27" s="2" t="n">
        <v>1.8939731728014</v>
      </c>
      <c r="BL27" s="2" t="n">
        <v>1.39739535867937</v>
      </c>
      <c r="BM27" s="2" t="n">
        <v>3.55005816801049</v>
      </c>
      <c r="BN27" s="2" t="n">
        <v>3000</v>
      </c>
      <c r="BO27" s="2" t="n">
        <v>1156.49444580078</v>
      </c>
      <c r="BP27" s="2" t="n">
        <v>1150.61996765137</v>
      </c>
      <c r="BQ27" s="2" t="n">
        <v>1161.44094238281</v>
      </c>
      <c r="BR27" s="2" t="n">
        <v>3000</v>
      </c>
      <c r="BS27" s="2" t="n">
        <v>6.5503301065599</v>
      </c>
      <c r="BT27" s="2" t="n">
        <v>4.8539351137905</v>
      </c>
      <c r="BU27" s="2" t="n">
        <v>12.0997812491215</v>
      </c>
      <c r="BV27" s="2" t="n">
        <v>48.29</v>
      </c>
      <c r="BW27" s="2" t="n">
        <v>3.69</v>
      </c>
      <c r="BX27" s="2" t="n">
        <v>13.65</v>
      </c>
      <c r="BY27" s="2" t="n">
        <v>12.67</v>
      </c>
      <c r="BZ27" s="2" t="n">
        <v>0.18</v>
      </c>
      <c r="CA27" s="2" t="n">
        <v>6.25</v>
      </c>
      <c r="CB27" s="2" t="n">
        <v>11.35</v>
      </c>
      <c r="CC27" s="2" t="n">
        <v>3.11</v>
      </c>
      <c r="CD27" s="2" t="n">
        <v>0.49</v>
      </c>
      <c r="CE27" s="2" t="n">
        <v>0.33</v>
      </c>
      <c r="CF27" s="2" t="n">
        <v>0.15</v>
      </c>
    </row>
    <row r="28" customFormat="false" ht="15" hidden="false" customHeight="false" outlineLevel="0" collapsed="false">
      <c r="A28" s="2" t="s">
        <v>145</v>
      </c>
      <c r="B28" s="2" t="n">
        <v>2009</v>
      </c>
      <c r="C28" s="2" t="s">
        <v>85</v>
      </c>
      <c r="D28" s="2" t="s">
        <v>86</v>
      </c>
      <c r="E28" s="2" t="n">
        <v>121</v>
      </c>
      <c r="F28" s="2" t="s">
        <v>146</v>
      </c>
      <c r="G28" s="2" t="s">
        <v>88</v>
      </c>
      <c r="H28" s="2" t="s">
        <v>94</v>
      </c>
      <c r="I28" s="2" t="n">
        <v>1</v>
      </c>
      <c r="J28" s="2" t="s">
        <v>89</v>
      </c>
      <c r="K28" s="2" t="n">
        <v>48.0799524204311</v>
      </c>
      <c r="L28" s="2" t="n">
        <v>2.22</v>
      </c>
      <c r="M28" s="2" t="n">
        <v>5.63</v>
      </c>
      <c r="N28" s="2" t="n">
        <v>7.58</v>
      </c>
      <c r="O28" s="2" t="n">
        <v>0.151</v>
      </c>
      <c r="P28" s="2" t="n">
        <v>14.5265888848376</v>
      </c>
      <c r="Q28" s="2" t="n">
        <v>19.9519670431558</v>
      </c>
      <c r="R28" s="2" t="n">
        <v>0.3502</v>
      </c>
      <c r="S28" s="2" t="n">
        <v>0</v>
      </c>
      <c r="T28" s="2" t="n">
        <v>0.7284</v>
      </c>
      <c r="U28" s="2" t="n">
        <v>99.2181083484245</v>
      </c>
      <c r="V28" s="2" t="n">
        <v>2.66555313315204</v>
      </c>
      <c r="W28" s="2" t="n">
        <v>1.80122969581277</v>
      </c>
      <c r="X28" s="2" t="n">
        <v>0.0625685419641609</v>
      </c>
      <c r="Y28" s="2" t="n">
        <v>0.248581160285108</v>
      </c>
      <c r="Z28" s="2" t="n">
        <v>0.237488512859655</v>
      </c>
      <c r="AA28" s="2" t="n">
        <v>0.811296125955275</v>
      </c>
      <c r="AB28" s="2" t="n">
        <v>0.800875214920834</v>
      </c>
      <c r="AC28" s="2" t="n">
        <v>0.0254369759346301</v>
      </c>
      <c r="AD28" s="2" t="n">
        <v>0</v>
      </c>
      <c r="AE28" s="2" t="n">
        <v>0.0215739080333369</v>
      </c>
      <c r="AF28" s="2" t="n">
        <v>0.00479132677928845</v>
      </c>
      <c r="AG28" s="2" t="n">
        <v>0.438619092216711</v>
      </c>
      <c r="AH28" s="2" t="n">
        <v>0.128395776326117</v>
      </c>
      <c r="AI28" s="2" t="n">
        <v>0.432985131457172</v>
      </c>
      <c r="AJ28" s="2" t="n">
        <v>77.3558360725035</v>
      </c>
      <c r="AK28" s="2" t="n">
        <v>0.198760853813353</v>
      </c>
      <c r="AL28" s="2" t="n">
        <v>0.0498228518581662</v>
      </c>
      <c r="AM28" s="2" t="n">
        <v>0.0254372774423676</v>
      </c>
      <c r="AN28" s="2" t="n">
        <v>0.0243855744157986</v>
      </c>
      <c r="AO28" s="2" t="n">
        <v>0.0871876396987772</v>
      </c>
      <c r="AP28" s="2" t="n">
        <v>2.71440021701813</v>
      </c>
      <c r="AQ28" s="2" t="n">
        <v>2.36921384640694</v>
      </c>
      <c r="AR28" s="2" t="n">
        <v>3.54164828964234</v>
      </c>
      <c r="AS28" s="2" t="n">
        <v>1128.88842773438</v>
      </c>
      <c r="AT28" s="2" t="n">
        <v>1124.90718078613</v>
      </c>
      <c r="AU28" s="2" t="n">
        <v>1131.99646911621</v>
      </c>
      <c r="AV28" s="2" t="n">
        <v>9.32031027630816</v>
      </c>
      <c r="AW28" s="2" t="n">
        <v>8.15983978280697</v>
      </c>
      <c r="AX28" s="2" t="n">
        <v>12.0720200615454</v>
      </c>
      <c r="AY28" s="2" t="n">
        <v>3.86076899391405</v>
      </c>
      <c r="AZ28" s="2" t="n">
        <v>0.166625892303408</v>
      </c>
      <c r="BA28" s="2" t="n">
        <v>3.4408861964249</v>
      </c>
      <c r="BB28" s="2" t="n">
        <v>4.31532673809134</v>
      </c>
      <c r="BC28" s="2" t="n">
        <v>1462.52327662461</v>
      </c>
      <c r="BD28" s="2" t="n">
        <v>1.55685544349969</v>
      </c>
      <c r="BE28" s="2" t="n">
        <v>3</v>
      </c>
      <c r="BF28" s="2" t="n">
        <v>3</v>
      </c>
      <c r="BG28" s="2" t="n">
        <v>13.1224399278041</v>
      </c>
      <c r="BH28" s="2" t="n">
        <v>0.584998719853579</v>
      </c>
      <c r="BI28" s="2" t="n">
        <v>11.7390689341629</v>
      </c>
      <c r="BJ28" s="2" t="n">
        <v>14.6080093193038</v>
      </c>
      <c r="BK28" s="2" t="n">
        <v>1.87767823706876</v>
      </c>
      <c r="BL28" s="2" t="n">
        <v>1.52627889803705</v>
      </c>
      <c r="BM28" s="2" t="n">
        <v>2.44187647693262</v>
      </c>
      <c r="BN28" s="2" t="n">
        <v>3000</v>
      </c>
      <c r="BO28" s="2" t="n">
        <v>1155.51141357422</v>
      </c>
      <c r="BP28" s="2" t="n">
        <v>1148.02236022949</v>
      </c>
      <c r="BQ28" s="2" t="n">
        <v>1158.90543518066</v>
      </c>
      <c r="BR28" s="2" t="n">
        <v>3000</v>
      </c>
      <c r="BS28" s="2" t="n">
        <v>6.4949009441826</v>
      </c>
      <c r="BT28" s="2" t="n">
        <v>5.29565930118828</v>
      </c>
      <c r="BU28" s="2" t="n">
        <v>8.4047218551709</v>
      </c>
      <c r="BV28" s="2" t="n">
        <v>48.29</v>
      </c>
      <c r="BW28" s="2" t="n">
        <v>3.69</v>
      </c>
      <c r="BX28" s="2" t="n">
        <v>13.65</v>
      </c>
      <c r="BY28" s="2" t="n">
        <v>12.67</v>
      </c>
      <c r="BZ28" s="2" t="n">
        <v>0.18</v>
      </c>
      <c r="CA28" s="2" t="n">
        <v>6.25</v>
      </c>
      <c r="CB28" s="2" t="n">
        <v>11.35</v>
      </c>
      <c r="CC28" s="2" t="n">
        <v>3.11</v>
      </c>
      <c r="CD28" s="2" t="n">
        <v>0.49</v>
      </c>
      <c r="CE28" s="2" t="n">
        <v>0.33</v>
      </c>
      <c r="CF28" s="2" t="n">
        <v>0.15</v>
      </c>
    </row>
    <row r="29" customFormat="false" ht="15" hidden="false" customHeight="false" outlineLevel="0" collapsed="false">
      <c r="A29" s="2" t="s">
        <v>147</v>
      </c>
      <c r="B29" s="2" t="n">
        <v>2009</v>
      </c>
      <c r="C29" s="2" t="s">
        <v>85</v>
      </c>
      <c r="D29" s="2" t="s">
        <v>86</v>
      </c>
      <c r="E29" s="2" t="n">
        <v>122</v>
      </c>
      <c r="F29" s="2" t="s">
        <v>148</v>
      </c>
      <c r="G29" s="2" t="s">
        <v>88</v>
      </c>
      <c r="H29" s="2" t="s">
        <v>94</v>
      </c>
      <c r="I29" s="2" t="n">
        <v>1</v>
      </c>
      <c r="J29" s="2" t="s">
        <v>89</v>
      </c>
      <c r="K29" s="2" t="n">
        <v>48.7039752485798</v>
      </c>
      <c r="L29" s="2" t="n">
        <v>2.15</v>
      </c>
      <c r="M29" s="2" t="n">
        <v>5.01</v>
      </c>
      <c r="N29" s="2" t="n">
        <v>7.94</v>
      </c>
      <c r="O29" s="2" t="n">
        <v>0.1537</v>
      </c>
      <c r="P29" s="2" t="n">
        <v>14.37886086228</v>
      </c>
      <c r="Q29" s="2" t="n">
        <v>20.2964614381455</v>
      </c>
      <c r="R29" s="2" t="n">
        <v>0.3358</v>
      </c>
      <c r="S29" s="2" t="n">
        <v>0</v>
      </c>
      <c r="T29" s="2" t="n">
        <v>0.435</v>
      </c>
      <c r="U29" s="2" t="n">
        <v>99.4037975490053</v>
      </c>
      <c r="V29" s="2" t="n">
        <v>2.61399230199292</v>
      </c>
      <c r="W29" s="2" t="n">
        <v>1.86059786681415</v>
      </c>
      <c r="X29" s="2" t="n">
        <v>0.0617909055328213</v>
      </c>
      <c r="Y29" s="2" t="n">
        <v>0.225569606222416</v>
      </c>
      <c r="Z29" s="2" t="n">
        <v>0.253674576690319</v>
      </c>
      <c r="AA29" s="2" t="n">
        <v>0.818885681156247</v>
      </c>
      <c r="AB29" s="2" t="n">
        <v>0.830773246260225</v>
      </c>
      <c r="AC29" s="2" t="n">
        <v>0.0248721351398775</v>
      </c>
      <c r="AD29" s="2" t="n">
        <v>0</v>
      </c>
      <c r="AE29" s="2" t="n">
        <v>0.0131380582318708</v>
      </c>
      <c r="AF29" s="2" t="n">
        <v>0.00497319801353709</v>
      </c>
      <c r="AG29" s="2" t="n">
        <v>0.430237622250305</v>
      </c>
      <c r="AH29" s="2" t="n">
        <v>0.133279100138241</v>
      </c>
      <c r="AI29" s="2" t="n">
        <v>0.436483277611454</v>
      </c>
      <c r="AJ29" s="2" t="n">
        <v>76.3486876532574</v>
      </c>
      <c r="AK29" s="2"/>
      <c r="AL29" s="2"/>
      <c r="AM29" s="2"/>
      <c r="AN29" s="2"/>
      <c r="AO29" s="2"/>
      <c r="AP29" s="2" t="n">
        <v>1.7199595751298</v>
      </c>
      <c r="AQ29" s="2" t="n">
        <v>1.42508474607592</v>
      </c>
      <c r="AR29" s="2" t="n">
        <v>2.65551852603083</v>
      </c>
      <c r="AS29" s="2" t="n">
        <v>1119.27612304688</v>
      </c>
      <c r="AT29" s="2" t="n">
        <v>1117.59825744629</v>
      </c>
      <c r="AU29" s="2" t="n">
        <v>1122.4426574707</v>
      </c>
      <c r="AV29" s="2" t="n">
        <v>5.95757056371442</v>
      </c>
      <c r="AW29" s="2" t="n">
        <v>4.94892020276333</v>
      </c>
      <c r="AX29" s="2" t="n">
        <v>9.12286869281638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customFormat="false" ht="15" hidden="false" customHeight="false" outlineLevel="0" collapsed="false">
      <c r="A30" s="2" t="s">
        <v>149</v>
      </c>
      <c r="B30" s="2" t="n">
        <v>2009</v>
      </c>
      <c r="C30" s="2" t="s">
        <v>85</v>
      </c>
      <c r="D30" s="2" t="s">
        <v>86</v>
      </c>
      <c r="E30" s="2" t="n">
        <v>123</v>
      </c>
      <c r="F30" s="2" t="s">
        <v>150</v>
      </c>
      <c r="G30" s="2" t="s">
        <v>93</v>
      </c>
      <c r="H30" s="2" t="s">
        <v>89</v>
      </c>
      <c r="I30" s="2" t="n">
        <v>1</v>
      </c>
      <c r="J30" s="2" t="s">
        <v>89</v>
      </c>
      <c r="K30" s="2" t="n">
        <v>52.1461656877231</v>
      </c>
      <c r="L30" s="2" t="n">
        <v>1.1043</v>
      </c>
      <c r="M30" s="2" t="n">
        <v>2.26</v>
      </c>
      <c r="N30" s="2" t="n">
        <v>7.75</v>
      </c>
      <c r="O30" s="2" t="n">
        <v>0.1924</v>
      </c>
      <c r="P30" s="2" t="n">
        <v>17.1069050121783</v>
      </c>
      <c r="Q30" s="2" t="n">
        <v>18.8993452806871</v>
      </c>
      <c r="R30" s="2" t="n">
        <v>0.2198</v>
      </c>
      <c r="S30" s="2" t="n">
        <v>0</v>
      </c>
      <c r="T30" s="2" t="n">
        <v>0.2325</v>
      </c>
      <c r="U30" s="2" t="n">
        <v>99.9114159805885</v>
      </c>
      <c r="V30" s="2" t="n">
        <v>2.71011741671415</v>
      </c>
      <c r="W30" s="2" t="n">
        <v>1.92143937374093</v>
      </c>
      <c r="X30" s="2" t="n">
        <v>0.0306118353716899</v>
      </c>
      <c r="Y30" s="2" t="n">
        <v>0.0981448446054902</v>
      </c>
      <c r="Z30" s="2" t="n">
        <v>0.238822005758538</v>
      </c>
      <c r="AA30" s="2" t="n">
        <v>0.939693963331579</v>
      </c>
      <c r="AB30" s="2" t="n">
        <v>0.74614826044486</v>
      </c>
      <c r="AC30" s="2" t="n">
        <v>0.0157027697283159</v>
      </c>
      <c r="AD30" s="2" t="n">
        <v>0</v>
      </c>
      <c r="AE30" s="2" t="n">
        <v>0.00677300006515248</v>
      </c>
      <c r="AF30" s="2" t="n">
        <v>0.00600458709806968</v>
      </c>
      <c r="AG30" s="2" t="n">
        <v>0.488237869708121</v>
      </c>
      <c r="AH30" s="2" t="n">
        <v>0.12408502329585</v>
      </c>
      <c r="AI30" s="2" t="n">
        <v>0.387677106996029</v>
      </c>
      <c r="AJ30" s="2" t="n">
        <v>79.7353610793308</v>
      </c>
      <c r="AK30" s="2" t="n">
        <v>0.0785534613713406</v>
      </c>
      <c r="AL30" s="2" t="n">
        <v>0.0195922392481153</v>
      </c>
      <c r="AM30" s="2" t="n">
        <v>0.0157029320229057</v>
      </c>
      <c r="AN30" s="2" t="n">
        <v>0.00388930722520957</v>
      </c>
      <c r="AO30" s="2" t="n">
        <v>0.0373320770730655</v>
      </c>
      <c r="AP30" s="2" t="n">
        <v>0</v>
      </c>
      <c r="AQ30" s="2" t="n">
        <v>0</v>
      </c>
      <c r="AR30" s="2" t="n">
        <v>0.0173377263895844</v>
      </c>
      <c r="AS30" s="2" t="n">
        <v>1133.626953125</v>
      </c>
      <c r="AT30" s="2" t="n">
        <v>1118.39974975586</v>
      </c>
      <c r="AU30" s="2" t="n">
        <v>1138.83615722656</v>
      </c>
      <c r="AV30" s="2" t="n">
        <v>0</v>
      </c>
      <c r="AW30" s="2" t="n">
        <v>0</v>
      </c>
      <c r="AX30" s="2" t="n">
        <v>0.0609486041314222</v>
      </c>
      <c r="AY30" s="2" t="n">
        <v>0.967640269766356</v>
      </c>
      <c r="AZ30" s="2" t="n">
        <v>0.28171565489597</v>
      </c>
      <c r="BA30" s="2" t="n">
        <v>0.161381706763442</v>
      </c>
      <c r="BB30" s="2" t="n">
        <v>1.66088334839243</v>
      </c>
      <c r="BC30" s="2" t="n">
        <v>1445.41873343097</v>
      </c>
      <c r="BD30" s="2" t="n">
        <v>6.29893229518368</v>
      </c>
      <c r="BE30" s="2" t="n">
        <v>5</v>
      </c>
      <c r="BF30" s="2" t="n">
        <v>5</v>
      </c>
      <c r="BG30" s="2" t="n">
        <v>3.37375569541382</v>
      </c>
      <c r="BH30" s="2" t="n">
        <v>0.988079350629273</v>
      </c>
      <c r="BI30" s="2" t="n">
        <v>0.566612807934665</v>
      </c>
      <c r="BJ30" s="2" t="n">
        <v>5.75591619965484</v>
      </c>
      <c r="BK30" s="2" t="n">
        <v>0</v>
      </c>
      <c r="BL30" s="2" t="n">
        <v>0</v>
      </c>
      <c r="BM30" s="2" t="n">
        <v>0.0429675431243086</v>
      </c>
      <c r="BN30" s="2" t="n">
        <v>5000</v>
      </c>
      <c r="BO30" s="2" t="n">
        <v>1161.92767333984</v>
      </c>
      <c r="BP30" s="2" t="n">
        <v>1150.63522949219</v>
      </c>
      <c r="BQ30" s="2" t="n">
        <v>1164.76878356934</v>
      </c>
      <c r="BR30" s="2" t="n">
        <v>5000</v>
      </c>
      <c r="BS30" s="2" t="n">
        <v>0</v>
      </c>
      <c r="BT30" s="2" t="n">
        <v>0</v>
      </c>
      <c r="BU30" s="2" t="n">
        <v>0.151013644714964</v>
      </c>
      <c r="BV30" s="2" t="n">
        <v>48.71</v>
      </c>
      <c r="BW30" s="2" t="n">
        <v>3.51</v>
      </c>
      <c r="BX30" s="2" t="n">
        <v>13.85</v>
      </c>
      <c r="BY30" s="2" t="n">
        <v>11.89</v>
      </c>
      <c r="BZ30" s="2" t="n">
        <v>0.2</v>
      </c>
      <c r="CA30" s="2" t="n">
        <v>6.66</v>
      </c>
      <c r="CB30" s="2" t="n">
        <v>11.48</v>
      </c>
      <c r="CC30" s="2" t="n">
        <v>2.98</v>
      </c>
      <c r="CD30" s="2" t="n">
        <v>0.43</v>
      </c>
      <c r="CE30" s="2" t="n">
        <v>0.27</v>
      </c>
      <c r="CF30" s="2" t="n">
        <v>0.15</v>
      </c>
    </row>
    <row r="31" customFormat="false" ht="15" hidden="false" customHeight="false" outlineLevel="0" collapsed="false">
      <c r="A31" s="2" t="s">
        <v>151</v>
      </c>
      <c r="B31" s="2" t="n">
        <v>2009</v>
      </c>
      <c r="C31" s="2" t="s">
        <v>85</v>
      </c>
      <c r="D31" s="2" t="s">
        <v>86</v>
      </c>
      <c r="E31" s="2" t="n">
        <v>124</v>
      </c>
      <c r="F31" s="2" t="s">
        <v>152</v>
      </c>
      <c r="G31" s="2" t="s">
        <v>93</v>
      </c>
      <c r="H31" s="2" t="s">
        <v>89</v>
      </c>
      <c r="I31" s="2" t="n">
        <v>1</v>
      </c>
      <c r="J31" s="2" t="s">
        <v>90</v>
      </c>
      <c r="K31" s="2" t="n">
        <v>52.2468145309729</v>
      </c>
      <c r="L31" s="2" t="n">
        <v>0.9253</v>
      </c>
      <c r="M31" s="2" t="n">
        <v>2.29</v>
      </c>
      <c r="N31" s="2" t="n">
        <v>7.04</v>
      </c>
      <c r="O31" s="2" t="n">
        <v>0.1885</v>
      </c>
      <c r="P31" s="2" t="n">
        <v>17.3629669179449</v>
      </c>
      <c r="Q31" s="2" t="n">
        <v>18.6505437731945</v>
      </c>
      <c r="R31" s="2" t="n">
        <v>0.2339</v>
      </c>
      <c r="S31" s="2" t="n">
        <v>0</v>
      </c>
      <c r="T31" s="2" t="n">
        <v>0.4314</v>
      </c>
      <c r="U31" s="2" t="n">
        <v>99.3694252221123</v>
      </c>
      <c r="V31" s="2" t="n">
        <v>2.7060000249815</v>
      </c>
      <c r="W31" s="2" t="n">
        <v>1.92807726421133</v>
      </c>
      <c r="X31" s="2" t="n">
        <v>0.025688879999129</v>
      </c>
      <c r="Y31" s="2" t="n">
        <v>0.0995989696968815</v>
      </c>
      <c r="Z31" s="2" t="n">
        <v>0.217272924022235</v>
      </c>
      <c r="AA31" s="2" t="n">
        <v>0.955210838737123</v>
      </c>
      <c r="AB31" s="2" t="n">
        <v>0.737445926367192</v>
      </c>
      <c r="AC31" s="2" t="n">
        <v>0.0167355159771526</v>
      </c>
      <c r="AD31" s="2" t="n">
        <v>0</v>
      </c>
      <c r="AE31" s="2" t="n">
        <v>0.0125863143499539</v>
      </c>
      <c r="AF31" s="2" t="n">
        <v>0.00589182374763155</v>
      </c>
      <c r="AG31" s="2" t="n">
        <v>0.500128797502467</v>
      </c>
      <c r="AH31" s="2" t="n">
        <v>0.113759645320555</v>
      </c>
      <c r="AI31" s="2" t="n">
        <v>0.386111557176977</v>
      </c>
      <c r="AJ31" s="2" t="n">
        <v>81.4690035868047</v>
      </c>
      <c r="AK31" s="2" t="n">
        <v>0.0719162506282716</v>
      </c>
      <c r="AL31" s="2" t="n">
        <v>0.0276835513737936</v>
      </c>
      <c r="AM31" s="2" t="n">
        <v>0.0167356828307489</v>
      </c>
      <c r="AN31" s="2" t="n">
        <v>0.0109478685430447</v>
      </c>
      <c r="AO31" s="2" t="n">
        <v>0.0304841910426134</v>
      </c>
      <c r="AP31" s="2" t="n">
        <v>0</v>
      </c>
      <c r="AQ31" s="2" t="n">
        <v>0</v>
      </c>
      <c r="AR31" s="2" t="n">
        <v>0.485048009876077</v>
      </c>
      <c r="AS31" s="2" t="n">
        <v>1136.13818359375</v>
      </c>
      <c r="AT31" s="2" t="n">
        <v>1112.57999267578</v>
      </c>
      <c r="AU31" s="2" t="n">
        <v>1146.15259094238</v>
      </c>
      <c r="AV31" s="2" t="n">
        <v>0</v>
      </c>
      <c r="AW31" s="2" t="n">
        <v>0</v>
      </c>
      <c r="AX31" s="2" t="n">
        <v>1.69825156929519</v>
      </c>
      <c r="AY31" s="2" t="n">
        <v>1.62474970615406</v>
      </c>
      <c r="AZ31" s="2" t="n">
        <v>0.132457645044769</v>
      </c>
      <c r="BA31" s="2" t="n">
        <v>0.992497522580168</v>
      </c>
      <c r="BB31" s="2" t="n">
        <v>2.21222658846264</v>
      </c>
      <c r="BC31" s="2" t="n">
        <v>1455.32815827628</v>
      </c>
      <c r="BD31" s="2" t="n">
        <v>2.05135340882976</v>
      </c>
      <c r="BE31" s="2" t="n">
        <v>40</v>
      </c>
      <c r="BF31" s="2" t="n">
        <v>40</v>
      </c>
      <c r="BG31" s="2" t="n">
        <v>5.63247120015534</v>
      </c>
      <c r="BH31" s="2" t="n">
        <v>0.465176219872661</v>
      </c>
      <c r="BI31" s="2" t="n">
        <v>3.45967498427008</v>
      </c>
      <c r="BJ31" s="2" t="n">
        <v>7.62968088407117</v>
      </c>
      <c r="BK31" s="2" t="n">
        <v>0</v>
      </c>
      <c r="BL31" s="2" t="n">
        <v>0</v>
      </c>
      <c r="BM31" s="2" t="n">
        <v>0.0648415601838861</v>
      </c>
      <c r="BN31" s="2" t="n">
        <v>40000</v>
      </c>
      <c r="BO31" s="2" t="n">
        <v>1160.73681640625</v>
      </c>
      <c r="BP31" s="2" t="n">
        <v>1156.37347106934</v>
      </c>
      <c r="BQ31" s="2" t="n">
        <v>1163.3212890625</v>
      </c>
      <c r="BR31" s="2" t="n">
        <v>40000</v>
      </c>
      <c r="BS31" s="2" t="n">
        <v>0</v>
      </c>
      <c r="BT31" s="2" t="n">
        <v>0</v>
      </c>
      <c r="BU31" s="2" t="n">
        <v>0.227849047284335</v>
      </c>
      <c r="BV31" s="2" t="n">
        <v>48.77</v>
      </c>
      <c r="BW31" s="2" t="n">
        <v>3.43</v>
      </c>
      <c r="BX31" s="2" t="n">
        <v>13.84</v>
      </c>
      <c r="BY31" s="2" t="n">
        <v>11.98</v>
      </c>
      <c r="BZ31" s="2" t="n">
        <v>0.17</v>
      </c>
      <c r="CA31" s="2" t="n">
        <v>6.53</v>
      </c>
      <c r="CB31" s="2" t="n">
        <v>11.6</v>
      </c>
      <c r="CC31" s="2" t="n">
        <v>2.96</v>
      </c>
      <c r="CD31" s="2" t="n">
        <v>0.45</v>
      </c>
      <c r="CE31" s="2" t="n">
        <v>0.27</v>
      </c>
      <c r="CF31" s="2" t="n">
        <v>0.15</v>
      </c>
    </row>
    <row r="32" customFormat="false" ht="15" hidden="false" customHeight="false" outlineLevel="0" collapsed="false">
      <c r="A32" s="2" t="s">
        <v>153</v>
      </c>
      <c r="B32" s="2" t="n">
        <v>2009</v>
      </c>
      <c r="C32" s="2" t="s">
        <v>85</v>
      </c>
      <c r="D32" s="2" t="s">
        <v>86</v>
      </c>
      <c r="E32" s="2" t="n">
        <v>125</v>
      </c>
      <c r="F32" s="2" t="s">
        <v>154</v>
      </c>
      <c r="G32" s="2" t="s">
        <v>88</v>
      </c>
      <c r="H32" s="2" t="s">
        <v>94</v>
      </c>
      <c r="I32" s="2" t="n">
        <v>1</v>
      </c>
      <c r="J32" s="2" t="s">
        <v>90</v>
      </c>
      <c r="K32" s="2" t="n">
        <v>47.9491089242063</v>
      </c>
      <c r="L32" s="2" t="n">
        <v>2.4</v>
      </c>
      <c r="M32" s="2" t="n">
        <v>5.83</v>
      </c>
      <c r="N32" s="2" t="n">
        <v>7.14</v>
      </c>
      <c r="O32" s="2" t="n">
        <v>0.117</v>
      </c>
      <c r="P32" s="2" t="n">
        <v>14.1227989565133</v>
      </c>
      <c r="Q32" s="2" t="n">
        <v>20.5452629456381</v>
      </c>
      <c r="R32" s="2" t="n">
        <v>0.3394</v>
      </c>
      <c r="S32" s="2" t="n">
        <v>0</v>
      </c>
      <c r="T32" s="2" t="n">
        <v>0.9329</v>
      </c>
      <c r="U32" s="2" t="n">
        <v>99.3764708263577</v>
      </c>
      <c r="V32" s="2" t="n">
        <v>2.66940975133628</v>
      </c>
      <c r="W32" s="2" t="n">
        <v>1.79373264058125</v>
      </c>
      <c r="X32" s="2" t="n">
        <v>0.0675439419826741</v>
      </c>
      <c r="Y32" s="2" t="n">
        <v>0.257039857609994</v>
      </c>
      <c r="Z32" s="2" t="n">
        <v>0.223379706179494</v>
      </c>
      <c r="AA32" s="2" t="n">
        <v>0.787605308110907</v>
      </c>
      <c r="AB32" s="2" t="n">
        <v>0.823498741710946</v>
      </c>
      <c r="AC32" s="2" t="n">
        <v>0.0246168951898626</v>
      </c>
      <c r="AD32" s="2" t="n">
        <v>0</v>
      </c>
      <c r="AE32" s="2" t="n">
        <v>0.0275909135381866</v>
      </c>
      <c r="AF32" s="2" t="n">
        <v>0.00370712139130793</v>
      </c>
      <c r="AG32" s="2" t="n">
        <v>0.429333487164619</v>
      </c>
      <c r="AH32" s="2" t="n">
        <v>0.121767066864848</v>
      </c>
      <c r="AI32" s="2" t="n">
        <v>0.448899445970532</v>
      </c>
      <c r="AJ32" s="2" t="n">
        <v>77.9047460623062</v>
      </c>
      <c r="AK32" s="2" t="n">
        <v>0.206257591400574</v>
      </c>
      <c r="AL32" s="2" t="n">
        <v>0.050784949364885</v>
      </c>
      <c r="AM32" s="2" t="n">
        <v>0.0246171918762255</v>
      </c>
      <c r="AN32" s="2" t="n">
        <v>0.0261677574886595</v>
      </c>
      <c r="AO32" s="2" t="n">
        <v>0.0900449169559573</v>
      </c>
      <c r="AP32" s="2" t="n">
        <v>2.7961479357508</v>
      </c>
      <c r="AQ32" s="2" t="n">
        <v>2.50309294975074</v>
      </c>
      <c r="AR32" s="2" t="n">
        <v>3.56182640111716</v>
      </c>
      <c r="AS32" s="2" t="n">
        <v>1140.40234375</v>
      </c>
      <c r="AT32" s="2" t="n">
        <v>1135.19564208984</v>
      </c>
      <c r="AU32" s="2" t="n">
        <v>1144.12696228027</v>
      </c>
      <c r="AV32" s="2" t="n">
        <v>9.59407769596454</v>
      </c>
      <c r="AW32" s="2" t="n">
        <v>8.61078063028133</v>
      </c>
      <c r="AX32" s="2" t="n">
        <v>12.1386212421435</v>
      </c>
      <c r="AY32" s="2" t="n">
        <v>3.54547239043646</v>
      </c>
      <c r="AZ32" s="2" t="n">
        <v>0.186200139205408</v>
      </c>
      <c r="BA32" s="2" t="n">
        <v>3.06896030105097</v>
      </c>
      <c r="BB32" s="2" t="n">
        <v>4.03442784216473</v>
      </c>
      <c r="BC32" s="2" t="n">
        <v>1454.12204305038</v>
      </c>
      <c r="BD32" s="2" t="n">
        <v>2.84806280295288</v>
      </c>
      <c r="BE32" s="2" t="n">
        <v>4</v>
      </c>
      <c r="BF32" s="2" t="n">
        <v>4</v>
      </c>
      <c r="BG32" s="2" t="n">
        <v>12.0846440310537</v>
      </c>
      <c r="BH32" s="2" t="n">
        <v>0.653610553529537</v>
      </c>
      <c r="BI32" s="2" t="n">
        <v>10.5047764473835</v>
      </c>
      <c r="BJ32" s="2" t="n">
        <v>13.6914636274539</v>
      </c>
      <c r="BK32" s="2" t="n">
        <v>1.81684115693842</v>
      </c>
      <c r="BL32" s="2" t="n">
        <v>1.43844495809286</v>
      </c>
      <c r="BM32" s="2" t="n">
        <v>2.23135436632696</v>
      </c>
      <c r="BN32" s="2" t="n">
        <v>4000</v>
      </c>
      <c r="BO32" s="2" t="n">
        <v>1154.13354492188</v>
      </c>
      <c r="BP32" s="2" t="n">
        <v>1140.50021972656</v>
      </c>
      <c r="BQ32" s="2" t="n">
        <v>1158.21387634277</v>
      </c>
      <c r="BR32" s="2" t="n">
        <v>4000</v>
      </c>
      <c r="BS32" s="2" t="n">
        <v>6.28781419645658</v>
      </c>
      <c r="BT32" s="2" t="n">
        <v>4.99473417406557</v>
      </c>
      <c r="BU32" s="2" t="n">
        <v>7.69435686463273</v>
      </c>
      <c r="BV32" s="2" t="n">
        <v>48.79</v>
      </c>
      <c r="BW32" s="2" t="n">
        <v>3.65</v>
      </c>
      <c r="BX32" s="2" t="n">
        <v>13.63</v>
      </c>
      <c r="BY32" s="2" t="n">
        <v>12.31</v>
      </c>
      <c r="BZ32" s="2" t="n">
        <v>0.19</v>
      </c>
      <c r="CA32" s="2" t="n">
        <v>6.29</v>
      </c>
      <c r="CB32" s="2" t="n">
        <v>11.39</v>
      </c>
      <c r="CC32" s="2" t="n">
        <v>2.96</v>
      </c>
      <c r="CD32" s="2" t="n">
        <v>0.5</v>
      </c>
      <c r="CE32" s="2" t="n">
        <v>0.29</v>
      </c>
      <c r="CF32" s="2" t="n">
        <v>0.15</v>
      </c>
    </row>
    <row r="33" customFormat="false" ht="15" hidden="false" customHeight="false" outlineLevel="0" collapsed="false">
      <c r="A33" s="2" t="s">
        <v>155</v>
      </c>
      <c r="B33" s="2" t="n">
        <v>2009</v>
      </c>
      <c r="C33" s="2" t="s">
        <v>85</v>
      </c>
      <c r="D33" s="2" t="s">
        <v>86</v>
      </c>
      <c r="E33" s="2" t="n">
        <v>126</v>
      </c>
      <c r="F33" s="2" t="s">
        <v>156</v>
      </c>
      <c r="G33" s="2" t="s">
        <v>93</v>
      </c>
      <c r="H33" s="2" t="s">
        <v>94</v>
      </c>
      <c r="I33" s="2" t="n">
        <v>1</v>
      </c>
      <c r="J33" s="2" t="s">
        <v>90</v>
      </c>
      <c r="K33" s="2" t="n">
        <v>48.2611203382807</v>
      </c>
      <c r="L33" s="2" t="n">
        <v>2.07</v>
      </c>
      <c r="M33" s="2" t="n">
        <v>5.37</v>
      </c>
      <c r="N33" s="2" t="n">
        <v>7.15</v>
      </c>
      <c r="O33" s="2" t="n">
        <v>0.1453</v>
      </c>
      <c r="P33" s="2" t="n">
        <v>14.4871947454889</v>
      </c>
      <c r="Q33" s="2" t="n">
        <v>20.6313865443855</v>
      </c>
      <c r="R33" s="2" t="n">
        <v>0.3471</v>
      </c>
      <c r="S33" s="2" t="n">
        <v>0</v>
      </c>
      <c r="T33" s="2" t="n">
        <v>1.0741</v>
      </c>
      <c r="U33" s="2" t="n">
        <v>99.5362016281551</v>
      </c>
      <c r="V33" s="2" t="n">
        <v>2.67202330838034</v>
      </c>
      <c r="W33" s="2" t="n">
        <v>1.80363880353171</v>
      </c>
      <c r="X33" s="2" t="n">
        <v>0.0581996680177998</v>
      </c>
      <c r="Y33" s="2" t="n">
        <v>0.236527261341244</v>
      </c>
      <c r="Z33" s="2" t="n">
        <v>0.223473764941649</v>
      </c>
      <c r="AA33" s="2" t="n">
        <v>0.807136814027871</v>
      </c>
      <c r="AB33" s="2" t="n">
        <v>0.82614190618041</v>
      </c>
      <c r="AC33" s="2" t="n">
        <v>0.0251507565053906</v>
      </c>
      <c r="AD33" s="2" t="n">
        <v>0</v>
      </c>
      <c r="AE33" s="2" t="n">
        <v>0.0317358916070827</v>
      </c>
      <c r="AF33" s="2" t="n">
        <v>0.00459929811494377</v>
      </c>
      <c r="AG33" s="2" t="n">
        <v>0.434703505439335</v>
      </c>
      <c r="AH33" s="2" t="n">
        <v>0.120357326422861</v>
      </c>
      <c r="AI33" s="2" t="n">
        <v>0.444939168137804</v>
      </c>
      <c r="AJ33" s="2" t="n">
        <v>78.3163719156566</v>
      </c>
      <c r="AK33" s="2" t="n">
        <v>0.196352241512313</v>
      </c>
      <c r="AL33" s="2" t="n">
        <v>0.0401773751610631</v>
      </c>
      <c r="AM33" s="2" t="n">
        <v>0.0251510475359006</v>
      </c>
      <c r="AN33" s="2" t="n">
        <v>0.0150263276251626</v>
      </c>
      <c r="AO33" s="2" t="n">
        <v>0.0906629569435749</v>
      </c>
      <c r="AP33" s="2" t="n">
        <v>2.98782629140536</v>
      </c>
      <c r="AQ33" s="2" t="n">
        <v>2.58514319428126</v>
      </c>
      <c r="AR33" s="2" t="n">
        <v>3.62690258392016</v>
      </c>
      <c r="AS33" s="2" t="n">
        <v>1148.015625</v>
      </c>
      <c r="AT33" s="2" t="n">
        <v>1145.37736206055</v>
      </c>
      <c r="AU33" s="2" t="n">
        <v>1151.14049987793</v>
      </c>
      <c r="AV33" s="2" t="n">
        <v>10.2344071477394</v>
      </c>
      <c r="AW33" s="2" t="n">
        <v>8.88661110712485</v>
      </c>
      <c r="AX33" s="2" t="n">
        <v>12.3532477975015</v>
      </c>
      <c r="AY33" s="2" t="n">
        <v>3.78668082545913</v>
      </c>
      <c r="AZ33" s="2" t="n">
        <v>0.1642066679168</v>
      </c>
      <c r="BA33" s="2" t="n">
        <v>3.37273212240717</v>
      </c>
      <c r="BB33" s="2" t="n">
        <v>4.26347495037478</v>
      </c>
      <c r="BC33" s="2" t="n">
        <v>1459.98791459517</v>
      </c>
      <c r="BD33" s="2" t="n">
        <v>3.48911920499241</v>
      </c>
      <c r="BE33" s="2" t="n">
        <v>13</v>
      </c>
      <c r="BF33" s="2" t="n">
        <v>13</v>
      </c>
      <c r="BG33" s="2" t="n">
        <v>12.8791208785126</v>
      </c>
      <c r="BH33" s="2" t="n">
        <v>0.576517219686089</v>
      </c>
      <c r="BI33" s="2" t="n">
        <v>11.513516613495</v>
      </c>
      <c r="BJ33" s="2" t="n">
        <v>14.4391818528527</v>
      </c>
      <c r="BK33" s="2" t="n">
        <v>1.79061616250138</v>
      </c>
      <c r="BL33" s="2" t="n">
        <v>1.3539555295819</v>
      </c>
      <c r="BM33" s="2" t="n">
        <v>2.31635755392853</v>
      </c>
      <c r="BN33" s="2" t="n">
        <v>13000</v>
      </c>
      <c r="BO33" s="2" t="n">
        <v>1156.45123291016</v>
      </c>
      <c r="BP33" s="2" t="n">
        <v>1146.21477966309</v>
      </c>
      <c r="BQ33" s="2" t="n">
        <v>1160.87747802734</v>
      </c>
      <c r="BR33" s="2" t="n">
        <v>13000</v>
      </c>
      <c r="BS33" s="2" t="n">
        <v>6.19847628662384</v>
      </c>
      <c r="BT33" s="2" t="n">
        <v>4.7048264205016</v>
      </c>
      <c r="BU33" s="2" t="n">
        <v>7.98150650063277</v>
      </c>
      <c r="BV33" s="2" t="n">
        <v>48.26</v>
      </c>
      <c r="BW33" s="2" t="n">
        <v>3.66</v>
      </c>
      <c r="BX33" s="2" t="n">
        <v>13.59</v>
      </c>
      <c r="BY33" s="2" t="n">
        <v>12.44</v>
      </c>
      <c r="BZ33" s="2" t="n">
        <v>0.2</v>
      </c>
      <c r="CA33" s="2" t="n">
        <v>6.41</v>
      </c>
      <c r="CB33" s="2" t="n">
        <v>11.52</v>
      </c>
      <c r="CC33" s="2" t="n">
        <v>3.18</v>
      </c>
      <c r="CD33" s="2" t="n">
        <v>0.46</v>
      </c>
      <c r="CE33" s="2" t="n">
        <v>0.3</v>
      </c>
      <c r="CF33" s="2" t="n">
        <v>0.15</v>
      </c>
    </row>
    <row r="34" customFormat="false" ht="15" hidden="false" customHeight="false" outlineLevel="0" collapsed="false">
      <c r="A34" s="2" t="s">
        <v>157</v>
      </c>
      <c r="B34" s="2" t="n">
        <v>2009</v>
      </c>
      <c r="C34" s="2" t="s">
        <v>85</v>
      </c>
      <c r="D34" s="2" t="s">
        <v>86</v>
      </c>
      <c r="E34" s="2" t="n">
        <v>127</v>
      </c>
      <c r="F34" s="2" t="s">
        <v>158</v>
      </c>
      <c r="G34" s="2" t="s">
        <v>97</v>
      </c>
      <c r="H34" s="2" t="s">
        <v>94</v>
      </c>
      <c r="I34" s="2" t="n">
        <v>1</v>
      </c>
      <c r="J34" s="2" t="s">
        <v>90</v>
      </c>
      <c r="K34" s="2" t="n">
        <v>48.4422882561303</v>
      </c>
      <c r="L34" s="2" t="n">
        <v>2.15</v>
      </c>
      <c r="M34" s="2" t="n">
        <v>3.98</v>
      </c>
      <c r="N34" s="2" t="n">
        <v>10.75</v>
      </c>
      <c r="O34" s="2" t="n">
        <v>0.2481</v>
      </c>
      <c r="P34" s="2" t="n">
        <v>13.8371914462352</v>
      </c>
      <c r="Q34" s="2" t="n">
        <v>17.8850006732173</v>
      </c>
      <c r="R34" s="2" t="n">
        <v>0.4337</v>
      </c>
      <c r="S34" s="2" t="n">
        <v>0.0514</v>
      </c>
      <c r="T34" s="2" t="n">
        <v>0.0525</v>
      </c>
      <c r="U34" s="2" t="n">
        <v>97.8301803755828</v>
      </c>
      <c r="V34" s="2" t="n">
        <v>2.5535526219453</v>
      </c>
      <c r="W34" s="2" t="n">
        <v>1.89440246701731</v>
      </c>
      <c r="X34" s="2" t="n">
        <v>0.063253425838125</v>
      </c>
      <c r="Y34" s="2" t="n">
        <v>0.183436358316338</v>
      </c>
      <c r="Z34" s="2" t="n">
        <v>0.351580191616734</v>
      </c>
      <c r="AA34" s="2" t="n">
        <v>0.806689191424265</v>
      </c>
      <c r="AB34" s="2" t="n">
        <v>0.749394717685153</v>
      </c>
      <c r="AC34" s="2" t="n">
        <v>0.0328837464877579</v>
      </c>
      <c r="AD34" s="2" t="n">
        <v>0.00256431694770102</v>
      </c>
      <c r="AE34" s="2" t="n">
        <v>0.00162315771843344</v>
      </c>
      <c r="AF34" s="2" t="n">
        <v>0.00821765946934924</v>
      </c>
      <c r="AG34" s="2" t="n">
        <v>0.422867522179192</v>
      </c>
      <c r="AH34" s="2" t="n">
        <v>0.184298793211501</v>
      </c>
      <c r="AI34" s="2" t="n">
        <v>0.392833684609306</v>
      </c>
      <c r="AJ34" s="2" t="n">
        <v>69.6460774354865</v>
      </c>
      <c r="AK34" s="2"/>
      <c r="AL34" s="2"/>
      <c r="AM34" s="2"/>
      <c r="AN34" s="2"/>
      <c r="AO34" s="2"/>
      <c r="AP34" s="2" t="n">
        <v>2.59346582882693</v>
      </c>
      <c r="AQ34" s="2" t="n">
        <v>2.21979132287791</v>
      </c>
      <c r="AR34" s="2" t="n">
        <v>3.1946886181145</v>
      </c>
      <c r="AS34" s="2" t="n">
        <v>1100.67553710938</v>
      </c>
      <c r="AT34" s="2" t="n">
        <v>1097.06653747559</v>
      </c>
      <c r="AU34" s="2" t="n">
        <v>1103.76910400391</v>
      </c>
      <c r="AV34" s="2" t="n">
        <v>8.91456673791222</v>
      </c>
      <c r="AW34" s="2" t="n">
        <v>7.65526186453758</v>
      </c>
      <c r="AX34" s="2" t="n">
        <v>10.9229628408174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customFormat="false" ht="15" hidden="false" customHeight="false" outlineLevel="0" collapsed="false">
      <c r="A35" s="2" t="s">
        <v>159</v>
      </c>
      <c r="B35" s="2" t="n">
        <v>2009</v>
      </c>
      <c r="C35" s="2" t="s">
        <v>85</v>
      </c>
      <c r="D35" s="2" t="s">
        <v>86</v>
      </c>
      <c r="E35" s="2" t="n">
        <v>128</v>
      </c>
      <c r="F35" s="2" t="s">
        <v>160</v>
      </c>
      <c r="G35" s="2" t="s">
        <v>93</v>
      </c>
      <c r="H35" s="2" t="s">
        <v>94</v>
      </c>
      <c r="I35" s="2" t="n">
        <v>1</v>
      </c>
      <c r="J35" s="2" t="s">
        <v>90</v>
      </c>
      <c r="K35" s="2" t="n">
        <v>49.0059217783292</v>
      </c>
      <c r="L35" s="2" t="n">
        <v>1.6216</v>
      </c>
      <c r="M35" s="2" t="n">
        <v>4.85</v>
      </c>
      <c r="N35" s="2" t="n">
        <v>6.72</v>
      </c>
      <c r="O35" s="2" t="n">
        <v>0.1291</v>
      </c>
      <c r="P35" s="2" t="n">
        <v>14.9796214873478</v>
      </c>
      <c r="Q35" s="2" t="n">
        <v>20.8610494743787</v>
      </c>
      <c r="R35" s="2" t="n">
        <v>0.3457</v>
      </c>
      <c r="S35" s="2" t="n">
        <v>0</v>
      </c>
      <c r="T35" s="2" t="n">
        <v>0.9541</v>
      </c>
      <c r="U35" s="2" t="n">
        <v>99.4670927400558</v>
      </c>
      <c r="V35" s="2" t="n">
        <v>2.67799509192461</v>
      </c>
      <c r="W35" s="2" t="n">
        <v>1.82738980936637</v>
      </c>
      <c r="X35" s="2" t="n">
        <v>0.0454908826128427</v>
      </c>
      <c r="Y35" s="2" t="n">
        <v>0.213146949579437</v>
      </c>
      <c r="Z35" s="2" t="n">
        <v>0.209565719378217</v>
      </c>
      <c r="AA35" s="2" t="n">
        <v>0.83271073418216</v>
      </c>
      <c r="AB35" s="2" t="n">
        <v>0.833475532035525</v>
      </c>
      <c r="AC35" s="2" t="n">
        <v>0.0249934543402282</v>
      </c>
      <c r="AD35" s="2" t="n">
        <v>0</v>
      </c>
      <c r="AE35" s="2" t="n">
        <v>0.0281274491946123</v>
      </c>
      <c r="AF35" s="2" t="n">
        <v>0.00407739375891195</v>
      </c>
      <c r="AG35" s="2" t="n">
        <v>0.443934347705152</v>
      </c>
      <c r="AH35" s="2" t="n">
        <v>0.11172357592448</v>
      </c>
      <c r="AI35" s="2" t="n">
        <v>0.444342076370369</v>
      </c>
      <c r="AJ35" s="2" t="n">
        <v>79.8934612153668</v>
      </c>
      <c r="AK35" s="2" t="n">
        <v>0.172602440833078</v>
      </c>
      <c r="AL35" s="2" t="n">
        <v>0.0405464769332709</v>
      </c>
      <c r="AM35" s="2" t="n">
        <v>0.0249937254544953</v>
      </c>
      <c r="AN35" s="2" t="n">
        <v>0.0155527514787756</v>
      </c>
      <c r="AO35" s="2" t="n">
        <v>0.0785248446771514</v>
      </c>
      <c r="AP35" s="2" t="n">
        <v>2.7311001129019</v>
      </c>
      <c r="AQ35" s="2" t="n">
        <v>2.06417213152525</v>
      </c>
      <c r="AR35" s="2" t="n">
        <v>3.23682200978873</v>
      </c>
      <c r="AS35" s="2" t="n">
        <v>1143.09936523438</v>
      </c>
      <c r="AT35" s="2" t="n">
        <v>1139.88197631836</v>
      </c>
      <c r="AU35" s="2" t="n">
        <v>1147.29342956543</v>
      </c>
      <c r="AV35" s="2" t="n">
        <v>9.37626997980301</v>
      </c>
      <c r="AW35" s="2" t="n">
        <v>7.1283203575961</v>
      </c>
      <c r="AX35" s="2" t="n">
        <v>11.0628888975077</v>
      </c>
      <c r="AY35" s="2" t="n">
        <v>3.77864917781876</v>
      </c>
      <c r="AZ35" s="2" t="n">
        <v>0.162821497512327</v>
      </c>
      <c r="BA35" s="2" t="n">
        <v>3.22581452907837</v>
      </c>
      <c r="BB35" s="2" t="n">
        <v>4.29206109788413</v>
      </c>
      <c r="BC35" s="2" t="n">
        <v>1461.83731729298</v>
      </c>
      <c r="BD35" s="2" t="n">
        <v>3.32362533259593</v>
      </c>
      <c r="BE35" s="2" t="n">
        <v>76</v>
      </c>
      <c r="BF35" s="2" t="n">
        <v>76</v>
      </c>
      <c r="BG35" s="2" t="n">
        <v>12.8527234991394</v>
      </c>
      <c r="BH35" s="2" t="n">
        <v>0.571660824650011</v>
      </c>
      <c r="BI35" s="2" t="n">
        <v>11.0263431576934</v>
      </c>
      <c r="BJ35" s="2" t="n">
        <v>14.5322774234713</v>
      </c>
      <c r="BK35" s="2" t="n">
        <v>1.6398775115245</v>
      </c>
      <c r="BL35" s="2" t="n">
        <v>1.17040613243997</v>
      </c>
      <c r="BM35" s="2" t="n">
        <v>2.25450781281239</v>
      </c>
      <c r="BN35" s="2" t="n">
        <v>76000</v>
      </c>
      <c r="BO35" s="2" t="n">
        <v>1160.525390625</v>
      </c>
      <c r="BP35" s="2" t="n">
        <v>1150.31762084961</v>
      </c>
      <c r="BQ35" s="2" t="n">
        <v>1166.16103515625</v>
      </c>
      <c r="BR35" s="2" t="n">
        <v>76000</v>
      </c>
      <c r="BS35" s="2" t="n">
        <v>5.68416263570903</v>
      </c>
      <c r="BT35" s="2" t="n">
        <v>4.07352445044563</v>
      </c>
      <c r="BU35" s="2" t="n">
        <v>7.77261501308269</v>
      </c>
      <c r="BV35" s="2" t="n">
        <v>48.77</v>
      </c>
      <c r="BW35" s="2" t="n">
        <v>3.43</v>
      </c>
      <c r="BX35" s="2" t="n">
        <v>13.84</v>
      </c>
      <c r="BY35" s="2" t="n">
        <v>11.98</v>
      </c>
      <c r="BZ35" s="2" t="n">
        <v>0.17</v>
      </c>
      <c r="CA35" s="2" t="n">
        <v>6.53</v>
      </c>
      <c r="CB35" s="2" t="n">
        <v>11.6</v>
      </c>
      <c r="CC35" s="2" t="n">
        <v>2.96</v>
      </c>
      <c r="CD35" s="2" t="n">
        <v>0.45</v>
      </c>
      <c r="CE35" s="2" t="n">
        <v>0.27</v>
      </c>
      <c r="CF35" s="2" t="n">
        <v>0.15</v>
      </c>
    </row>
    <row r="36" customFormat="false" ht="15" hidden="false" customHeight="false" outlineLevel="0" collapsed="false">
      <c r="A36" s="2" t="s">
        <v>161</v>
      </c>
      <c r="B36" s="2" t="n">
        <v>2009</v>
      </c>
      <c r="C36" s="2" t="s">
        <v>85</v>
      </c>
      <c r="D36" s="2" t="s">
        <v>86</v>
      </c>
      <c r="E36" s="2" t="n">
        <v>129</v>
      </c>
      <c r="F36" s="2" t="s">
        <v>162</v>
      </c>
      <c r="G36" s="2" t="s">
        <v>97</v>
      </c>
      <c r="H36" s="2" t="s">
        <v>108</v>
      </c>
      <c r="I36" s="2" t="n">
        <v>2</v>
      </c>
      <c r="J36" s="2" t="s">
        <v>163</v>
      </c>
      <c r="K36" s="2" t="n">
        <v>48.5328722150552</v>
      </c>
      <c r="L36" s="2" t="n">
        <v>1.89</v>
      </c>
      <c r="M36" s="2" t="n">
        <v>5.06</v>
      </c>
      <c r="N36" s="2" t="n">
        <v>7.46</v>
      </c>
      <c r="O36" s="2" t="n">
        <v>0.1666</v>
      </c>
      <c r="P36" s="2" t="n">
        <v>14.9993185570222</v>
      </c>
      <c r="Q36" s="2" t="n">
        <v>19.674457669414</v>
      </c>
      <c r="R36" s="2" t="n">
        <v>0.3453</v>
      </c>
      <c r="S36" s="2" t="n">
        <v>0.0029</v>
      </c>
      <c r="T36" s="2" t="n">
        <v>0.4712</v>
      </c>
      <c r="U36" s="2" t="n">
        <v>98.6026484414914</v>
      </c>
      <c r="V36" s="2" t="n">
        <v>2.65579960355802</v>
      </c>
      <c r="W36" s="2" t="n">
        <v>1.82487493109293</v>
      </c>
      <c r="X36" s="2" t="n">
        <v>0.0534634409126414</v>
      </c>
      <c r="Y36" s="2" t="n">
        <v>0.224234470239229</v>
      </c>
      <c r="Z36" s="2" t="n">
        <v>0.234587178563082</v>
      </c>
      <c r="AA36" s="2" t="n">
        <v>0.840774104831257</v>
      </c>
      <c r="AB36" s="2" t="n">
        <v>0.792636279984961</v>
      </c>
      <c r="AC36" s="2" t="n">
        <v>0.0251731728468511</v>
      </c>
      <c r="AD36" s="2" t="n">
        <v>0.000139109276459292</v>
      </c>
      <c r="AE36" s="2" t="n">
        <v>0.0140073573981934</v>
      </c>
      <c r="AF36" s="2" t="n">
        <v>0.00530573901551995</v>
      </c>
      <c r="AG36" s="2" t="n">
        <v>0.450093790973825</v>
      </c>
      <c r="AH36" s="2" t="n">
        <v>0.125582165181577</v>
      </c>
      <c r="AI36" s="2" t="n">
        <v>0.424324043844598</v>
      </c>
      <c r="AJ36" s="2" t="n">
        <v>78.1852683199998</v>
      </c>
      <c r="AK36" s="2" t="n">
        <v>0.175116368178237</v>
      </c>
      <c r="AL36" s="2" t="n">
        <v>0.0491202907874177</v>
      </c>
      <c r="AM36" s="2" t="n">
        <v>0.0251734591753563</v>
      </c>
      <c r="AN36" s="2" t="n">
        <v>0.0239468316120615</v>
      </c>
      <c r="AO36" s="2" t="n">
        <v>0.0755847682830878</v>
      </c>
      <c r="AP36" s="2" t="n">
        <v>2.63924539741708</v>
      </c>
      <c r="AQ36" s="2" t="n">
        <v>2.22347025331689</v>
      </c>
      <c r="AR36" s="2" t="n">
        <v>3.47108193096352</v>
      </c>
      <c r="AS36" s="2" t="n">
        <v>1121.30102539063</v>
      </c>
      <c r="AT36" s="2" t="n">
        <v>1116.66233825684</v>
      </c>
      <c r="AU36" s="2" t="n">
        <v>1124.04897460938</v>
      </c>
      <c r="AV36" s="2" t="n">
        <v>9.06826471986474</v>
      </c>
      <c r="AW36" s="2" t="n">
        <v>7.66770131862507</v>
      </c>
      <c r="AX36" s="2" t="n">
        <v>11.8389101449994</v>
      </c>
      <c r="AY36" s="2" t="n">
        <v>3.97173779610668</v>
      </c>
      <c r="AZ36" s="2" t="n">
        <v>0.180670001366034</v>
      </c>
      <c r="BA36" s="2" t="n">
        <v>3.5217872988167</v>
      </c>
      <c r="BB36" s="2" t="n">
        <v>4.50962776129751</v>
      </c>
      <c r="BC36" s="2" t="n">
        <v>1467.97517416917</v>
      </c>
      <c r="BD36" s="2" t="n">
        <v>3.56837846038946</v>
      </c>
      <c r="BE36" s="2" t="n">
        <v>10</v>
      </c>
      <c r="BF36" s="2" t="n">
        <v>10</v>
      </c>
      <c r="BG36" s="2" t="n">
        <v>13.4862594733645</v>
      </c>
      <c r="BH36" s="2" t="n">
        <v>0.634228615826214</v>
      </c>
      <c r="BI36" s="2" t="n">
        <v>12.006441494833</v>
      </c>
      <c r="BJ36" s="2" t="n">
        <v>15.2391969468183</v>
      </c>
      <c r="BK36" s="2" t="n">
        <v>2.00321990248616</v>
      </c>
      <c r="BL36" s="2" t="n">
        <v>1.43080121048741</v>
      </c>
      <c r="BM36" s="2" t="n">
        <v>2.60740063392724</v>
      </c>
      <c r="BN36" s="2" t="n">
        <v>10000</v>
      </c>
      <c r="BO36" s="2" t="n">
        <v>1157.77813720703</v>
      </c>
      <c r="BP36" s="2" t="n">
        <v>1151.17043457031</v>
      </c>
      <c r="BQ36" s="2" t="n">
        <v>1161.74441833496</v>
      </c>
      <c r="BR36" s="2" t="n">
        <v>10000</v>
      </c>
      <c r="BS36" s="2" t="n">
        <v>6.92153028882626</v>
      </c>
      <c r="BT36" s="2" t="n">
        <v>4.96852405520355</v>
      </c>
      <c r="BU36" s="2" t="n">
        <v>8.96136418543091</v>
      </c>
      <c r="BV36" s="2" t="n">
        <v>48.26</v>
      </c>
      <c r="BW36" s="2" t="n">
        <v>3.66</v>
      </c>
      <c r="BX36" s="2" t="n">
        <v>13.59</v>
      </c>
      <c r="BY36" s="2" t="n">
        <v>12.44</v>
      </c>
      <c r="BZ36" s="2" t="n">
        <v>0.2</v>
      </c>
      <c r="CA36" s="2" t="n">
        <v>6.41</v>
      </c>
      <c r="CB36" s="2" t="n">
        <v>11.52</v>
      </c>
      <c r="CC36" s="2" t="n">
        <v>3.18</v>
      </c>
      <c r="CD36" s="2" t="n">
        <v>0.46</v>
      </c>
      <c r="CE36" s="2" t="n">
        <v>0.3</v>
      </c>
      <c r="CF36" s="2" t="n">
        <v>0.15</v>
      </c>
    </row>
    <row r="37" customFormat="false" ht="15" hidden="false" customHeight="false" outlineLevel="0" collapsed="false">
      <c r="A37" s="2" t="s">
        <v>164</v>
      </c>
      <c r="B37" s="2" t="n">
        <v>2009</v>
      </c>
      <c r="C37" s="2" t="s">
        <v>85</v>
      </c>
      <c r="D37" s="2" t="s">
        <v>86</v>
      </c>
      <c r="E37" s="2" t="n">
        <v>130</v>
      </c>
      <c r="F37" s="2" t="s">
        <v>165</v>
      </c>
      <c r="G37" s="2" t="s">
        <v>88</v>
      </c>
      <c r="H37" s="2" t="s">
        <v>108</v>
      </c>
      <c r="I37" s="2" t="n">
        <v>2</v>
      </c>
      <c r="J37" s="2" t="s">
        <v>163</v>
      </c>
      <c r="K37" s="2" t="n">
        <v>51.5825321655242</v>
      </c>
      <c r="L37" s="2" t="n">
        <v>0.8643</v>
      </c>
      <c r="M37" s="2" t="n">
        <v>2.09</v>
      </c>
      <c r="N37" s="2" t="n">
        <v>7.28</v>
      </c>
      <c r="O37" s="2" t="n">
        <v>0.2101</v>
      </c>
      <c r="P37" s="2" t="n">
        <v>18.1606982397563</v>
      </c>
      <c r="Q37" s="2" t="n">
        <v>17.1385961507396</v>
      </c>
      <c r="R37" s="2" t="n">
        <v>0.2168</v>
      </c>
      <c r="S37" s="2" t="n">
        <v>0</v>
      </c>
      <c r="T37" s="2" t="n">
        <v>0.4646</v>
      </c>
      <c r="U37" s="2" t="n">
        <v>98.0076265560201</v>
      </c>
      <c r="V37" s="2" t="n">
        <v>2.6516873307187</v>
      </c>
      <c r="W37" s="2" t="n">
        <v>1.94255246401731</v>
      </c>
      <c r="X37" s="2" t="n">
        <v>0.0244868321045905</v>
      </c>
      <c r="Y37" s="2" t="n">
        <v>0.0927622196978846</v>
      </c>
      <c r="Z37" s="2" t="n">
        <v>0.229281921067698</v>
      </c>
      <c r="AA37" s="2" t="n">
        <v>1.01956126808132</v>
      </c>
      <c r="AB37" s="2" t="n">
        <v>0.691543351375634</v>
      </c>
      <c r="AC37" s="2" t="n">
        <v>0.0158297350321169</v>
      </c>
      <c r="AD37" s="2" t="n">
        <v>0</v>
      </c>
      <c r="AE37" s="2" t="n">
        <v>0.0138325778022105</v>
      </c>
      <c r="AF37" s="2" t="n">
        <v>0.00670146767452414</v>
      </c>
      <c r="AG37" s="2" t="n">
        <v>0.525442352226195</v>
      </c>
      <c r="AH37" s="2" t="n">
        <v>0.11816301354353</v>
      </c>
      <c r="AI37" s="2" t="n">
        <v>0.356394634230276</v>
      </c>
      <c r="AJ37" s="2" t="n">
        <v>81.6404554983453</v>
      </c>
      <c r="AK37" s="2"/>
      <c r="AL37" s="2"/>
      <c r="AM37" s="2"/>
      <c r="AN37" s="2"/>
      <c r="AO37" s="2"/>
      <c r="AP37" s="2" t="n">
        <v>0.462193593354185</v>
      </c>
      <c r="AQ37" s="2" t="n">
        <v>0.189631232590635</v>
      </c>
      <c r="AR37" s="2" t="n">
        <v>0.832352319331128</v>
      </c>
      <c r="AS37" s="2" t="n">
        <v>1134.99169921875</v>
      </c>
      <c r="AT37" s="2" t="n">
        <v>1128.99447937012</v>
      </c>
      <c r="AU37" s="2" t="n">
        <v>1138.9340423584</v>
      </c>
      <c r="AV37" s="2" t="n">
        <v>1.61855368046653</v>
      </c>
      <c r="AW37" s="2" t="n">
        <v>0.665634862532885</v>
      </c>
      <c r="AX37" s="2" t="n">
        <v>2.90547536491639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customFormat="false" ht="15" hidden="false" customHeight="false" outlineLevel="0" collapsed="false">
      <c r="A38" s="2" t="s">
        <v>166</v>
      </c>
      <c r="B38" s="2" t="n">
        <v>2009</v>
      </c>
      <c r="C38" s="2" t="s">
        <v>85</v>
      </c>
      <c r="D38" s="2" t="s">
        <v>86</v>
      </c>
      <c r="E38" s="2" t="n">
        <v>131</v>
      </c>
      <c r="F38" s="2" t="s">
        <v>167</v>
      </c>
      <c r="G38" s="2" t="s">
        <v>88</v>
      </c>
      <c r="H38" s="2" t="s">
        <v>108</v>
      </c>
      <c r="I38" s="2" t="n">
        <v>2</v>
      </c>
      <c r="J38" s="2" t="s">
        <v>163</v>
      </c>
      <c r="K38" s="2" t="n">
        <v>52.3273336055728</v>
      </c>
      <c r="L38" s="2" t="n">
        <v>0.9152</v>
      </c>
      <c r="M38" s="2" t="n">
        <v>2.29</v>
      </c>
      <c r="N38" s="2" t="n">
        <v>7.26</v>
      </c>
      <c r="O38" s="2" t="n">
        <v>0.1888</v>
      </c>
      <c r="P38" s="2" t="n">
        <v>17.5106949405026</v>
      </c>
      <c r="Q38" s="2" t="n">
        <v>18.2773415119557</v>
      </c>
      <c r="R38" s="2" t="n">
        <v>0.2347</v>
      </c>
      <c r="S38" s="2" t="n">
        <v>0</v>
      </c>
      <c r="T38" s="2" t="n">
        <v>0.4653</v>
      </c>
      <c r="U38" s="2" t="n">
        <v>99.469370058031</v>
      </c>
      <c r="V38" s="2" t="n">
        <v>2.68626722751258</v>
      </c>
      <c r="W38" s="2" t="n">
        <v>1.94523378841574</v>
      </c>
      <c r="X38" s="2" t="n">
        <v>0.025595121875352</v>
      </c>
      <c r="Y38" s="2" t="n">
        <v>0.100330604389444</v>
      </c>
      <c r="Z38" s="2" t="n">
        <v>0.22570862400784</v>
      </c>
      <c r="AA38" s="2" t="n">
        <v>0.970414480914698</v>
      </c>
      <c r="AB38" s="2" t="n">
        <v>0.727998176717988</v>
      </c>
      <c r="AC38" s="2" t="n">
        <v>0.0169161122019671</v>
      </c>
      <c r="AD38" s="2" t="n">
        <v>0</v>
      </c>
      <c r="AE38" s="2" t="n">
        <v>0.0136750860754663</v>
      </c>
      <c r="AF38" s="2" t="n">
        <v>0.00594454972964937</v>
      </c>
      <c r="AG38" s="2" t="n">
        <v>0.504341639050587</v>
      </c>
      <c r="AH38" s="2" t="n">
        <v>0.117304780193169</v>
      </c>
      <c r="AI38" s="2" t="n">
        <v>0.378353580756245</v>
      </c>
      <c r="AJ38" s="2" t="n">
        <v>81.1299837718245</v>
      </c>
      <c r="AK38" s="2"/>
      <c r="AL38" s="2"/>
      <c r="AM38" s="2"/>
      <c r="AN38" s="2"/>
      <c r="AO38" s="2"/>
      <c r="AP38" s="2" t="n">
        <v>0.04159415483511</v>
      </c>
      <c r="AQ38" s="2" t="n">
        <v>0</v>
      </c>
      <c r="AR38" s="2" t="n">
        <v>0.520956052542095</v>
      </c>
      <c r="AS38" s="2" t="n">
        <v>1145.166015625</v>
      </c>
      <c r="AT38" s="2" t="n">
        <v>1128.26686401367</v>
      </c>
      <c r="AU38" s="2" t="n">
        <v>1148.9707611084</v>
      </c>
      <c r="AV38" s="2" t="n">
        <v>0.146188467751155</v>
      </c>
      <c r="AW38" s="2" t="n">
        <v>0</v>
      </c>
      <c r="AX38" s="2" t="n">
        <v>1.82340611030974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customFormat="false" ht="15" hidden="false" customHeight="false" outlineLevel="0" collapsed="false">
      <c r="A39" s="2" t="s">
        <v>168</v>
      </c>
      <c r="B39" s="2" t="n">
        <v>2009</v>
      </c>
      <c r="C39" s="2" t="s">
        <v>85</v>
      </c>
      <c r="D39" s="2" t="s">
        <v>86</v>
      </c>
      <c r="E39" s="2" t="n">
        <v>132</v>
      </c>
      <c r="F39" s="2" t="s">
        <v>169</v>
      </c>
      <c r="G39" s="2" t="s">
        <v>97</v>
      </c>
      <c r="H39" s="2" t="s">
        <v>108</v>
      </c>
      <c r="I39" s="2" t="n">
        <v>2</v>
      </c>
      <c r="J39" s="2" t="s">
        <v>163</v>
      </c>
      <c r="K39" s="2" t="n">
        <v>48.5932615210051</v>
      </c>
      <c r="L39" s="2" t="n">
        <v>1.93</v>
      </c>
      <c r="M39" s="2" t="n">
        <v>4.64</v>
      </c>
      <c r="N39" s="2" t="n">
        <v>8.09</v>
      </c>
      <c r="O39" s="2" t="n">
        <v>0.1761</v>
      </c>
      <c r="P39" s="2" t="n">
        <v>15.1175009750683</v>
      </c>
      <c r="Q39" s="2" t="n">
        <v>19.4543640281706</v>
      </c>
      <c r="R39" s="2" t="n">
        <v>0.361</v>
      </c>
      <c r="S39" s="2" t="n">
        <v>0.0013</v>
      </c>
      <c r="T39" s="2" t="n">
        <v>0.1968</v>
      </c>
      <c r="U39" s="2" t="n">
        <v>98.560326524244</v>
      </c>
      <c r="V39" s="2" t="n">
        <v>2.64918456518374</v>
      </c>
      <c r="W39" s="2" t="n">
        <v>1.83170801695914</v>
      </c>
      <c r="X39" s="2" t="n">
        <v>0.0547312663837706</v>
      </c>
      <c r="Y39" s="2" t="n">
        <v>0.206135563250804</v>
      </c>
      <c r="Z39" s="2" t="n">
        <v>0.255033394690737</v>
      </c>
      <c r="AA39" s="2" t="n">
        <v>0.849514682679816</v>
      </c>
      <c r="AB39" s="2" t="n">
        <v>0.785726318932695</v>
      </c>
      <c r="AC39" s="2" t="n">
        <v>0.0263834549891554</v>
      </c>
      <c r="AD39" s="2" t="n">
        <v>6.25150426527136E-005</v>
      </c>
      <c r="AE39" s="2" t="n">
        <v>0.00586487969306034</v>
      </c>
      <c r="AF39" s="2" t="n">
        <v>0.00562229110359498</v>
      </c>
      <c r="AG39" s="2" t="n">
        <v>0.449413420792868</v>
      </c>
      <c r="AH39" s="2" t="n">
        <v>0.134918716134281</v>
      </c>
      <c r="AI39" s="2" t="n">
        <v>0.415667863072851</v>
      </c>
      <c r="AJ39" s="2" t="n">
        <v>76.9106116867398</v>
      </c>
      <c r="AK39" s="2" t="n">
        <v>0.168282907120434</v>
      </c>
      <c r="AL39" s="2" t="n">
        <v>0.0378547067523732</v>
      </c>
      <c r="AM39" s="2" t="n">
        <v>0.0263837600187696</v>
      </c>
      <c r="AN39" s="2" t="n">
        <v>0.0114709467336036</v>
      </c>
      <c r="AO39" s="2" t="n">
        <v>0.0784059801934149</v>
      </c>
      <c r="AP39" s="2" t="n">
        <v>3.69715744453013</v>
      </c>
      <c r="AQ39" s="2" t="n">
        <v>3.20663050609171</v>
      </c>
      <c r="AR39" s="2" t="n">
        <v>4.48275346952021</v>
      </c>
      <c r="AS39" s="2" t="n">
        <v>1106.76953125</v>
      </c>
      <c r="AT39" s="2" t="n">
        <v>1103.83620300293</v>
      </c>
      <c r="AU39" s="2" t="n">
        <v>1111.84398193359</v>
      </c>
      <c r="AV39" s="2" t="n">
        <v>12.5846659721833</v>
      </c>
      <c r="AW39" s="2" t="n">
        <v>10.9626330765291</v>
      </c>
      <c r="AX39" s="2" t="n">
        <v>15.1520320398307</v>
      </c>
      <c r="AY39" s="2" t="n">
        <v>3.91935305434408</v>
      </c>
      <c r="AZ39" s="2"/>
      <c r="BA39" s="2" t="n">
        <v>3.51980241277077</v>
      </c>
      <c r="BB39" s="2" t="n">
        <v>4.25971246404335</v>
      </c>
      <c r="BC39" s="2" t="n">
        <v>1466.33726318873</v>
      </c>
      <c r="BD39" s="2"/>
      <c r="BE39" s="2" t="n">
        <v>1</v>
      </c>
      <c r="BF39" s="2" t="n">
        <v>1</v>
      </c>
      <c r="BG39" s="2" t="n">
        <v>13.3146051543211</v>
      </c>
      <c r="BH39" s="2"/>
      <c r="BI39" s="2" t="n">
        <v>11.9998863296049</v>
      </c>
      <c r="BJ39" s="2" t="n">
        <v>14.4269249989573</v>
      </c>
      <c r="BK39" s="2" t="n">
        <v>1.81151955489679</v>
      </c>
      <c r="BL39" s="2" t="n">
        <v>1.32117239871764</v>
      </c>
      <c r="BM39" s="2" t="n">
        <v>2.33867663258809</v>
      </c>
      <c r="BN39" s="2" t="n">
        <v>1000</v>
      </c>
      <c r="BO39" s="2" t="n">
        <v>1152.33471679688</v>
      </c>
      <c r="BP39" s="2" t="n">
        <v>1147.60997314453</v>
      </c>
      <c r="BQ39" s="2" t="n">
        <v>1155.08438110352</v>
      </c>
      <c r="BR39" s="2" t="n">
        <v>1000</v>
      </c>
      <c r="BS39" s="2" t="n">
        <v>6.26968902919907</v>
      </c>
      <c r="BT39" s="2" t="n">
        <v>4.59222149248521</v>
      </c>
      <c r="BU39" s="2" t="n">
        <v>8.0568300982445</v>
      </c>
      <c r="BV39" s="2" t="n">
        <v>48.62</v>
      </c>
      <c r="BW39" s="2" t="n">
        <v>3.78</v>
      </c>
      <c r="BX39" s="2" t="n">
        <v>13.42</v>
      </c>
      <c r="BY39" s="2" t="n">
        <v>12.57</v>
      </c>
      <c r="BZ39" s="2" t="n">
        <v>0.23</v>
      </c>
      <c r="CA39" s="2" t="n">
        <v>6.14</v>
      </c>
      <c r="CB39" s="2" t="n">
        <v>11.19</v>
      </c>
      <c r="CC39" s="2" t="n">
        <v>3.21</v>
      </c>
      <c r="CD39" s="2" t="n">
        <v>0.48</v>
      </c>
      <c r="CE39" s="2" t="n">
        <v>0.36</v>
      </c>
      <c r="CF39" s="2" t="n">
        <v>0.15</v>
      </c>
    </row>
    <row r="40" customFormat="false" ht="15" hidden="false" customHeight="false" outlineLevel="0" collapsed="false">
      <c r="A40" s="2" t="s">
        <v>170</v>
      </c>
      <c r="B40" s="2" t="n">
        <v>2009</v>
      </c>
      <c r="C40" s="2" t="s">
        <v>85</v>
      </c>
      <c r="D40" s="2" t="s">
        <v>86</v>
      </c>
      <c r="E40" s="2" t="n">
        <v>134</v>
      </c>
      <c r="F40" s="2" t="s">
        <v>171</v>
      </c>
      <c r="G40" s="2" t="s">
        <v>88</v>
      </c>
      <c r="H40" s="2" t="s">
        <v>94</v>
      </c>
      <c r="I40" s="2" t="n">
        <v>1</v>
      </c>
      <c r="J40" s="2" t="s">
        <v>90</v>
      </c>
      <c r="K40" s="2" t="n">
        <v>45.9160022905603</v>
      </c>
      <c r="L40" s="2" t="n">
        <v>1.69</v>
      </c>
      <c r="M40" s="2" t="n">
        <v>10.36</v>
      </c>
      <c r="N40" s="2" t="n">
        <v>6.93</v>
      </c>
      <c r="O40" s="2" t="n">
        <v>0.112</v>
      </c>
      <c r="P40" s="2" t="n">
        <v>13.6303722146544</v>
      </c>
      <c r="Q40" s="2" t="n">
        <v>18.5644201744471</v>
      </c>
      <c r="R40" s="2" t="n">
        <v>0.3526</v>
      </c>
      <c r="S40" s="2" t="n">
        <v>0.0016</v>
      </c>
      <c r="T40" s="2" t="n">
        <v>0.6659</v>
      </c>
      <c r="U40" s="2" t="n">
        <v>98.2228946796618</v>
      </c>
      <c r="V40" s="2" t="n">
        <v>2.6193443133397</v>
      </c>
      <c r="W40" s="2" t="n">
        <v>1.75050716026099</v>
      </c>
      <c r="X40" s="2" t="n">
        <v>0.0484712833486717</v>
      </c>
      <c r="Y40" s="2" t="n">
        <v>0.46549425450332</v>
      </c>
      <c r="Z40" s="2" t="n">
        <v>0.220953757007389</v>
      </c>
      <c r="AA40" s="2" t="n">
        <v>0.774672653893999</v>
      </c>
      <c r="AB40" s="2" t="n">
        <v>0.758324832305869</v>
      </c>
      <c r="AC40" s="2" t="n">
        <v>0.0260631197171147</v>
      </c>
      <c r="AD40" s="2" t="n">
        <v>7.78181295778441E-005</v>
      </c>
      <c r="AE40" s="2" t="n">
        <v>0.0200707062339556</v>
      </c>
      <c r="AF40" s="2" t="n">
        <v>0.00361652624149588</v>
      </c>
      <c r="AG40" s="2" t="n">
        <v>0.441672855442345</v>
      </c>
      <c r="AH40" s="2" t="n">
        <v>0.125974856976842</v>
      </c>
      <c r="AI40" s="2" t="n">
        <v>0.432352287580814</v>
      </c>
      <c r="AJ40" s="2" t="n">
        <v>77.8075637017957</v>
      </c>
      <c r="AK40" s="2"/>
      <c r="AL40" s="2"/>
      <c r="AM40" s="2"/>
      <c r="AN40" s="2"/>
      <c r="AO40" s="2"/>
      <c r="AP40" s="2" t="n">
        <v>8.48166847229004</v>
      </c>
      <c r="AQ40" s="2" t="n">
        <v>7.90177848339081</v>
      </c>
      <c r="AR40" s="2" t="n">
        <v>8.98900227546692</v>
      </c>
      <c r="AS40" s="2" t="n">
        <v>1102.34057617188</v>
      </c>
      <c r="AT40" s="2" t="n">
        <v>1088.71462097168</v>
      </c>
      <c r="AU40" s="2" t="n">
        <v>1130.49047546387</v>
      </c>
      <c r="AV40" s="2" t="n">
        <v>27.6409555694872</v>
      </c>
      <c r="AW40" s="2" t="n">
        <v>25.8899884427762</v>
      </c>
      <c r="AX40" s="2" t="n">
        <v>29.1561275944912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customFormat="false" ht="15" hidden="false" customHeight="false" outlineLevel="0" collapsed="false">
      <c r="A41" s="2" t="s">
        <v>172</v>
      </c>
      <c r="B41" s="2" t="n">
        <v>2009</v>
      </c>
      <c r="C41" s="2" t="s">
        <v>85</v>
      </c>
      <c r="D41" s="2" t="s">
        <v>86</v>
      </c>
      <c r="E41" s="2" t="n">
        <v>135</v>
      </c>
      <c r="F41" s="2" t="s">
        <v>173</v>
      </c>
      <c r="G41" s="2" t="s">
        <v>93</v>
      </c>
      <c r="H41" s="2" t="s">
        <v>89</v>
      </c>
      <c r="I41" s="2" t="n">
        <v>1</v>
      </c>
      <c r="J41" s="2" t="s">
        <v>90</v>
      </c>
      <c r="K41" s="2" t="n">
        <v>51.683181008774</v>
      </c>
      <c r="L41" s="2" t="n">
        <v>0.9029</v>
      </c>
      <c r="M41" s="2" t="n">
        <v>2.17</v>
      </c>
      <c r="N41" s="2" t="n">
        <v>6.84</v>
      </c>
      <c r="O41" s="2" t="n">
        <v>0.1614</v>
      </c>
      <c r="P41" s="2" t="n">
        <v>17.0675108728296</v>
      </c>
      <c r="Q41" s="2" t="n">
        <v>18.80365239319</v>
      </c>
      <c r="R41" s="2" t="n">
        <v>0.2559</v>
      </c>
      <c r="S41" s="2" t="n">
        <v>0</v>
      </c>
      <c r="T41" s="2" t="n">
        <v>0.3959</v>
      </c>
      <c r="U41" s="2" t="n">
        <v>98.2804442747936</v>
      </c>
      <c r="V41" s="2" t="n">
        <v>2.67503489856814</v>
      </c>
      <c r="W41" s="2" t="n">
        <v>1.92935522973557</v>
      </c>
      <c r="X41" s="2" t="n">
        <v>0.0253571596468604</v>
      </c>
      <c r="Y41" s="2" t="n">
        <v>0.0954723123713992</v>
      </c>
      <c r="Z41" s="2" t="n">
        <v>0.213544010939568</v>
      </c>
      <c r="AA41" s="2" t="n">
        <v>0.949825524686124</v>
      </c>
      <c r="AB41" s="2" t="n">
        <v>0.752106324310042</v>
      </c>
      <c r="AC41" s="2" t="n">
        <v>0.018521557954713</v>
      </c>
      <c r="AD41" s="2" t="n">
        <v>0</v>
      </c>
      <c r="AE41" s="2" t="n">
        <v>0.011684288704792</v>
      </c>
      <c r="AF41" s="2" t="n">
        <v>0.00510317270731795</v>
      </c>
      <c r="AG41" s="2" t="n">
        <v>0.495869222135742</v>
      </c>
      <c r="AH41" s="2" t="n">
        <v>0.111483530231873</v>
      </c>
      <c r="AI41" s="2" t="n">
        <v>0.392647247632385</v>
      </c>
      <c r="AJ41" s="2" t="n">
        <v>81.6443525122292</v>
      </c>
      <c r="AK41" s="2" t="n">
        <v>0.0706383357091378</v>
      </c>
      <c r="AL41" s="2" t="n">
        <v>0.0248347717659026</v>
      </c>
      <c r="AM41" s="2" t="n">
        <v>0.0185217420881306</v>
      </c>
      <c r="AN41" s="2" t="n">
        <v>0.00631302967777206</v>
      </c>
      <c r="AO41" s="2" t="n">
        <v>0.0321626530156829</v>
      </c>
      <c r="AP41" s="2" t="n">
        <v>0</v>
      </c>
      <c r="AQ41" s="2" t="n">
        <v>0</v>
      </c>
      <c r="AR41" s="2" t="n">
        <v>0.541510371617766</v>
      </c>
      <c r="AS41" s="2" t="n">
        <v>1122.69592285156</v>
      </c>
      <c r="AT41" s="2" t="n">
        <v>1096.15897216797</v>
      </c>
      <c r="AU41" s="2" t="n">
        <v>1139.16046447754</v>
      </c>
      <c r="AV41" s="2" t="n">
        <v>0</v>
      </c>
      <c r="AW41" s="2" t="n">
        <v>0</v>
      </c>
      <c r="AX41" s="2" t="n">
        <v>1.89501134104904</v>
      </c>
      <c r="AY41" s="2" t="n">
        <v>2.10444979818929</v>
      </c>
      <c r="AZ41" s="2" t="n">
        <v>0.132743284556144</v>
      </c>
      <c r="BA41" s="2" t="n">
        <v>1.43676152046003</v>
      </c>
      <c r="BB41" s="2" t="n">
        <v>2.71272261647832</v>
      </c>
      <c r="BC41" s="2" t="n">
        <v>1457.72788946104</v>
      </c>
      <c r="BD41" s="2" t="n">
        <v>2.02633403616833</v>
      </c>
      <c r="BE41" s="2" t="n">
        <v>29</v>
      </c>
      <c r="BF41" s="2" t="n">
        <v>29</v>
      </c>
      <c r="BG41" s="2" t="n">
        <v>7.26484516417483</v>
      </c>
      <c r="BH41" s="2" t="n">
        <v>0.466178204549225</v>
      </c>
      <c r="BI41" s="2" t="n">
        <v>4.98896203468517</v>
      </c>
      <c r="BJ41" s="2" t="n">
        <v>9.31468786825935</v>
      </c>
      <c r="BK41" s="2" t="n">
        <v>0</v>
      </c>
      <c r="BL41" s="2" t="n">
        <v>0</v>
      </c>
      <c r="BM41" s="2" t="n">
        <v>0.0538334057930835</v>
      </c>
      <c r="BN41" s="2" t="n">
        <v>29000</v>
      </c>
      <c r="BO41" s="2" t="n">
        <v>1160.94195556641</v>
      </c>
      <c r="BP41" s="2" t="n">
        <v>1156.02731323242</v>
      </c>
      <c r="BQ41" s="2" t="n">
        <v>1163.40797119141</v>
      </c>
      <c r="BR41" s="2" t="n">
        <v>29000</v>
      </c>
      <c r="BS41" s="2" t="n">
        <v>0</v>
      </c>
      <c r="BT41" s="2" t="n">
        <v>0</v>
      </c>
      <c r="BU41" s="2" t="n">
        <v>0.18918506094985</v>
      </c>
      <c r="BV41" s="2" t="n">
        <v>48.47</v>
      </c>
      <c r="BW41" s="2" t="n">
        <v>3.55</v>
      </c>
      <c r="BX41" s="2" t="n">
        <v>13.66</v>
      </c>
      <c r="BY41" s="2" t="n">
        <v>12.22</v>
      </c>
      <c r="BZ41" s="2" t="n">
        <v>0.19</v>
      </c>
      <c r="CA41" s="2" t="n">
        <v>6.53</v>
      </c>
      <c r="CB41" s="2" t="n">
        <v>11.51</v>
      </c>
      <c r="CC41" s="2" t="n">
        <v>2.99</v>
      </c>
      <c r="CD41" s="2" t="n">
        <v>0.48</v>
      </c>
      <c r="CE41" s="2" t="n">
        <v>0.41</v>
      </c>
      <c r="CF41" s="2" t="n">
        <v>0.15</v>
      </c>
    </row>
    <row r="42" customFormat="false" ht="15" hidden="false" customHeight="false" outlineLevel="0" collapsed="false">
      <c r="A42" s="2" t="s">
        <v>174</v>
      </c>
      <c r="B42" s="2" t="n">
        <v>2009</v>
      </c>
      <c r="C42" s="2" t="s">
        <v>85</v>
      </c>
      <c r="D42" s="2" t="s">
        <v>86</v>
      </c>
      <c r="E42" s="2" t="n">
        <v>137</v>
      </c>
      <c r="F42" s="2" t="s">
        <v>175</v>
      </c>
      <c r="G42" s="2" t="s">
        <v>97</v>
      </c>
      <c r="H42" s="2" t="s">
        <v>89</v>
      </c>
      <c r="I42" s="2" t="n">
        <v>1</v>
      </c>
      <c r="J42" s="2" t="s">
        <v>90</v>
      </c>
      <c r="K42" s="2" t="n">
        <v>50.5961735016761</v>
      </c>
      <c r="L42" s="2" t="n">
        <v>1.0429</v>
      </c>
      <c r="M42" s="2" t="n">
        <v>3.64</v>
      </c>
      <c r="N42" s="2" t="n">
        <v>7.72</v>
      </c>
      <c r="O42" s="2" t="n">
        <v>0.2042</v>
      </c>
      <c r="P42" s="2" t="n">
        <v>16.9197828502719</v>
      </c>
      <c r="Q42" s="2" t="n">
        <v>17.4161055244813</v>
      </c>
      <c r="R42" s="2" t="n">
        <v>0.2058</v>
      </c>
      <c r="S42" s="2" t="n">
        <v>0.0184</v>
      </c>
      <c r="T42" s="2" t="n">
        <v>0.2734</v>
      </c>
      <c r="U42" s="2" t="n">
        <v>98.0367618764293</v>
      </c>
      <c r="V42" s="2" t="n">
        <v>2.66702206149194</v>
      </c>
      <c r="W42" s="2" t="n">
        <v>1.89445144148407</v>
      </c>
      <c r="X42" s="2" t="n">
        <v>0.0293769337201512</v>
      </c>
      <c r="Y42" s="2" t="n">
        <v>0.160628252745499</v>
      </c>
      <c r="Z42" s="2" t="n">
        <v>0.241741625681152</v>
      </c>
      <c r="AA42" s="2" t="n">
        <v>0.944433268383843</v>
      </c>
      <c r="AB42" s="2" t="n">
        <v>0.69870028097532</v>
      </c>
      <c r="AC42" s="2" t="n">
        <v>0.0149401667059253</v>
      </c>
      <c r="AD42" s="2" t="n">
        <v>0.000878910414153074</v>
      </c>
      <c r="AE42" s="2" t="n">
        <v>0.00809316010187203</v>
      </c>
      <c r="AF42" s="2" t="n">
        <v>0.0064758281883358</v>
      </c>
      <c r="AG42" s="2" t="n">
        <v>0.501058786751565</v>
      </c>
      <c r="AH42" s="2" t="n">
        <v>0.128253387217528</v>
      </c>
      <c r="AI42" s="2" t="n">
        <v>0.370687826030907</v>
      </c>
      <c r="AJ42" s="2" t="n">
        <v>79.6200689383411</v>
      </c>
      <c r="AK42" s="2" t="n">
        <v>0.105541771844083</v>
      </c>
      <c r="AL42" s="2" t="n">
        <v>0.0550878583564472</v>
      </c>
      <c r="AM42" s="2" t="n">
        <v>0.014940318929611</v>
      </c>
      <c r="AN42" s="2" t="n">
        <v>0.0401475394268362</v>
      </c>
      <c r="AO42" s="2" t="n">
        <v>0.0326971162086235</v>
      </c>
      <c r="AP42" s="2" t="n">
        <v>1.41558378036373</v>
      </c>
      <c r="AQ42" s="2" t="n">
        <v>0.782524990991287</v>
      </c>
      <c r="AR42" s="2" t="n">
        <v>1.92819669540279</v>
      </c>
      <c r="AS42" s="2" t="n">
        <v>1154.416015625</v>
      </c>
      <c r="AT42" s="2" t="n">
        <v>1149.92209777832</v>
      </c>
      <c r="AU42" s="2" t="n">
        <v>1158.60803222656</v>
      </c>
      <c r="AV42" s="2" t="n">
        <v>4.91633352697221</v>
      </c>
      <c r="AW42" s="2" t="n">
        <v>2.73272555137203</v>
      </c>
      <c r="AX42" s="2" t="n">
        <v>6.66669310373296</v>
      </c>
      <c r="AY42" s="2" t="n">
        <v>1.46380768112216</v>
      </c>
      <c r="AZ42" s="2" t="n">
        <v>0.159550646474274</v>
      </c>
      <c r="BA42" s="2" t="n">
        <v>0.777780900043571</v>
      </c>
      <c r="BB42" s="2" t="n">
        <v>2.14734653728515</v>
      </c>
      <c r="BC42" s="2" t="n">
        <v>1459.70630541503</v>
      </c>
      <c r="BD42" s="2" t="n">
        <v>3.18462513696325</v>
      </c>
      <c r="BE42" s="2" t="n">
        <v>73</v>
      </c>
      <c r="BF42" s="2" t="n">
        <v>73</v>
      </c>
      <c r="BG42" s="2" t="n">
        <v>5.08167661835985</v>
      </c>
      <c r="BH42" s="2" t="n">
        <v>0.560192788752553</v>
      </c>
      <c r="BI42" s="2" t="n">
        <v>2.71627008967047</v>
      </c>
      <c r="BJ42" s="2" t="n">
        <v>7.4101394467598</v>
      </c>
      <c r="BK42" s="2" t="n">
        <v>1.21444512905587</v>
      </c>
      <c r="BL42" s="2" t="n">
        <v>0.509687509334192</v>
      </c>
      <c r="BM42" s="2" t="n">
        <v>1.92181209483268</v>
      </c>
      <c r="BN42" s="2" t="n">
        <v>73000</v>
      </c>
      <c r="BO42" s="2" t="n">
        <v>1168.19122314453</v>
      </c>
      <c r="BP42" s="2" t="n">
        <v>1158.6354309082</v>
      </c>
      <c r="BQ42" s="2" t="n">
        <v>1172.00586853027</v>
      </c>
      <c r="BR42" s="2" t="n">
        <v>73000</v>
      </c>
      <c r="BS42" s="2" t="n">
        <v>4.22517885701148</v>
      </c>
      <c r="BT42" s="2" t="n">
        <v>1.7841389389458</v>
      </c>
      <c r="BU42" s="2" t="n">
        <v>6.6449902838685</v>
      </c>
      <c r="BV42" s="2" t="n">
        <v>48.77</v>
      </c>
      <c r="BW42" s="2" t="n">
        <v>3.43</v>
      </c>
      <c r="BX42" s="2" t="n">
        <v>13.84</v>
      </c>
      <c r="BY42" s="2" t="n">
        <v>11.98</v>
      </c>
      <c r="BZ42" s="2" t="n">
        <v>0.17</v>
      </c>
      <c r="CA42" s="2" t="n">
        <v>6.53</v>
      </c>
      <c r="CB42" s="2" t="n">
        <v>11.6</v>
      </c>
      <c r="CC42" s="2" t="n">
        <v>2.96</v>
      </c>
      <c r="CD42" s="2" t="n">
        <v>0.45</v>
      </c>
      <c r="CE42" s="2" t="n">
        <v>0.27</v>
      </c>
      <c r="CF42" s="2" t="n">
        <v>0.15</v>
      </c>
    </row>
    <row r="43" customFormat="false" ht="15" hidden="false" customHeight="false" outlineLevel="0" collapsed="false">
      <c r="A43" s="2" t="s">
        <v>176</v>
      </c>
      <c r="B43" s="2" t="n">
        <v>2009</v>
      </c>
      <c r="C43" s="2" t="s">
        <v>85</v>
      </c>
      <c r="D43" s="2" t="s">
        <v>86</v>
      </c>
      <c r="E43" s="2" t="n">
        <v>153</v>
      </c>
      <c r="F43" s="2" t="s">
        <v>177</v>
      </c>
      <c r="G43" s="2" t="s">
        <v>88</v>
      </c>
      <c r="H43" s="2" t="s">
        <v>108</v>
      </c>
      <c r="I43" s="2" t="n">
        <v>2</v>
      </c>
      <c r="J43" s="2" t="s">
        <v>163</v>
      </c>
      <c r="K43" s="2" t="n">
        <v>48.8952080507545</v>
      </c>
      <c r="L43" s="2" t="n">
        <v>1.0846</v>
      </c>
      <c r="M43" s="2" t="n">
        <v>6.3</v>
      </c>
      <c r="N43" s="2" t="n">
        <v>6.65</v>
      </c>
      <c r="O43" s="2" t="n">
        <v>0.1474</v>
      </c>
      <c r="P43" s="2" t="n">
        <v>15.8659896226939</v>
      </c>
      <c r="Q43" s="2" t="n">
        <v>18.0381092932128</v>
      </c>
      <c r="R43" s="2" t="n">
        <v>0.2143</v>
      </c>
      <c r="S43" s="2" t="n">
        <v>0.0044</v>
      </c>
      <c r="T43" s="2" t="n">
        <v>0.5822</v>
      </c>
      <c r="U43" s="2" t="n">
        <v>97.7822069666611</v>
      </c>
      <c r="V43" s="2" t="n">
        <v>2.63788627091585</v>
      </c>
      <c r="W43" s="2" t="n">
        <v>1.8509839108097</v>
      </c>
      <c r="X43" s="2" t="n">
        <v>0.0308890062569615</v>
      </c>
      <c r="Y43" s="2" t="n">
        <v>0.281081098212433</v>
      </c>
      <c r="Z43" s="2" t="n">
        <v>0.210535978896374</v>
      </c>
      <c r="AA43" s="2" t="n">
        <v>0.895394038542051</v>
      </c>
      <c r="AB43" s="2" t="n">
        <v>0.731646711720386</v>
      </c>
      <c r="AC43" s="2" t="n">
        <v>0.0157290605647836</v>
      </c>
      <c r="AD43" s="2" t="n">
        <v>0.000212495630663655</v>
      </c>
      <c r="AE43" s="2" t="n">
        <v>0.0174245817899775</v>
      </c>
      <c r="AF43" s="2" t="n">
        <v>0.00472615112044967</v>
      </c>
      <c r="AG43" s="2" t="n">
        <v>0.487268925609401</v>
      </c>
      <c r="AH43" s="2" t="n">
        <v>0.114572619230301</v>
      </c>
      <c r="AI43" s="2" t="n">
        <v>0.398158455160298</v>
      </c>
      <c r="AJ43" s="2" t="n">
        <v>80.9629926327507</v>
      </c>
      <c r="AK43" s="2"/>
      <c r="AL43" s="2"/>
      <c r="AM43" s="2"/>
      <c r="AN43" s="2"/>
      <c r="AO43" s="2"/>
      <c r="AP43" s="2" t="n">
        <v>6.40737781963378</v>
      </c>
      <c r="AQ43" s="2" t="n">
        <v>5.78361844263106</v>
      </c>
      <c r="AR43" s="2" t="n">
        <v>7.03189487895995</v>
      </c>
      <c r="AS43" s="2" t="n">
        <v>1157.07385253906</v>
      </c>
      <c r="AT43" s="2" t="n">
        <v>1153.07420043945</v>
      </c>
      <c r="AU43" s="2" t="n">
        <v>1160.7415802002</v>
      </c>
      <c r="AV43" s="2" t="n">
        <v>21.2837486131873</v>
      </c>
      <c r="AW43" s="2" t="n">
        <v>19.3210817410613</v>
      </c>
      <c r="AX43" s="2" t="n">
        <v>23.2251785735964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customFormat="false" ht="15" hidden="false" customHeight="false" outlineLevel="0" collapsed="false">
      <c r="A44" s="2" t="s">
        <v>178</v>
      </c>
      <c r="B44" s="2" t="n">
        <v>2009</v>
      </c>
      <c r="C44" s="2" t="s">
        <v>85</v>
      </c>
      <c r="D44" s="2" t="s">
        <v>86</v>
      </c>
      <c r="E44" s="2" t="n">
        <v>154</v>
      </c>
      <c r="F44" s="2" t="s">
        <v>179</v>
      </c>
      <c r="G44" s="2" t="s">
        <v>93</v>
      </c>
      <c r="H44" s="2" t="s">
        <v>108</v>
      </c>
      <c r="I44" s="2" t="n">
        <v>2</v>
      </c>
      <c r="J44" s="2" t="s">
        <v>163</v>
      </c>
      <c r="K44" s="2" t="n">
        <v>47.5163188982322</v>
      </c>
      <c r="L44" s="2" t="n">
        <v>2.31</v>
      </c>
      <c r="M44" s="2" t="n">
        <v>6</v>
      </c>
      <c r="N44" s="2" t="n">
        <v>7.67</v>
      </c>
      <c r="O44" s="2" t="n">
        <v>0.1599</v>
      </c>
      <c r="P44" s="2" t="n">
        <v>14.37886086228</v>
      </c>
      <c r="Q44" s="2" t="n">
        <v>19.8849820219078</v>
      </c>
      <c r="R44" s="2" t="n">
        <v>0.348</v>
      </c>
      <c r="S44" s="2" t="n">
        <v>0</v>
      </c>
      <c r="T44" s="2" t="n">
        <v>0.7922</v>
      </c>
      <c r="U44" s="2" t="n">
        <v>99.0602617824199</v>
      </c>
      <c r="V44" s="2" t="n">
        <v>2.65767398495095</v>
      </c>
      <c r="W44" s="2" t="n">
        <v>1.78539163653035</v>
      </c>
      <c r="X44" s="2" t="n">
        <v>0.0652981201620129</v>
      </c>
      <c r="Y44" s="2" t="n">
        <v>0.265703151089488</v>
      </c>
      <c r="Z44" s="2" t="n">
        <v>0.241020734090256</v>
      </c>
      <c r="AA44" s="2" t="n">
        <v>0.805426428853035</v>
      </c>
      <c r="AB44" s="2" t="n">
        <v>0.800552791147452</v>
      </c>
      <c r="AC44" s="2" t="n">
        <v>0.0253521163832531</v>
      </c>
      <c r="AD44" s="2" t="n">
        <v>0</v>
      </c>
      <c r="AE44" s="2" t="n">
        <v>0.0235331120465974</v>
      </c>
      <c r="AF44" s="2" t="n">
        <v>0.00508877145883414</v>
      </c>
      <c r="AG44" s="2" t="n">
        <v>0.436072793109265</v>
      </c>
      <c r="AH44" s="2" t="n">
        <v>0.130493091543637</v>
      </c>
      <c r="AI44" s="2" t="n">
        <v>0.433434115347098</v>
      </c>
      <c r="AJ44" s="2" t="n">
        <v>76.9677110679579</v>
      </c>
      <c r="AK44" s="2" t="n">
        <v>0.214598740459454</v>
      </c>
      <c r="AL44" s="2" t="n">
        <v>0.051107169398289</v>
      </c>
      <c r="AM44" s="2" t="n">
        <v>0.0253524205165034</v>
      </c>
      <c r="AN44" s="2" t="n">
        <v>0.0257547488817856</v>
      </c>
      <c r="AO44" s="2" t="n">
        <v>0.0944219957888343</v>
      </c>
      <c r="AP44" s="2" t="n">
        <v>3.31131114006277</v>
      </c>
      <c r="AQ44" s="2" t="n">
        <v>2.97264472484823</v>
      </c>
      <c r="AR44" s="2" t="n">
        <v>3.85335304975744</v>
      </c>
      <c r="AS44" s="2" t="n">
        <v>1137.6953125</v>
      </c>
      <c r="AT44" s="2" t="n">
        <v>1133.9173614502</v>
      </c>
      <c r="AU44" s="2" t="n">
        <v>1141.15343322754</v>
      </c>
      <c r="AV44" s="2" t="n">
        <v>11.3100059589177</v>
      </c>
      <c r="AW44" s="2" t="n">
        <v>10.1837721032908</v>
      </c>
      <c r="AX44" s="2" t="n">
        <v>13.0980995969421</v>
      </c>
      <c r="AY44" s="2" t="n">
        <v>3.79837974983939</v>
      </c>
      <c r="AZ44" s="2"/>
      <c r="BA44" s="2" t="n">
        <v>3.40156093505239</v>
      </c>
      <c r="BB44" s="2" t="n">
        <v>4.20986489527068</v>
      </c>
      <c r="BC44" s="2" t="n">
        <v>1462.20585382295</v>
      </c>
      <c r="BD44" s="2"/>
      <c r="BE44" s="2" t="n">
        <v>1</v>
      </c>
      <c r="BF44" s="2" t="n">
        <v>1</v>
      </c>
      <c r="BG44" s="2" t="n">
        <v>12.9175643941234</v>
      </c>
      <c r="BH44" s="2"/>
      <c r="BI44" s="2" t="n">
        <v>11.608958402666</v>
      </c>
      <c r="BJ44" s="2" t="n">
        <v>14.2644582234583</v>
      </c>
      <c r="BK44" s="2" t="n">
        <v>1.99971237763247</v>
      </c>
      <c r="BL44" s="2" t="n">
        <v>1.63210392702482</v>
      </c>
      <c r="BM44" s="2" t="n">
        <v>2.41412170251212</v>
      </c>
      <c r="BN44" s="2" t="n">
        <v>1000</v>
      </c>
      <c r="BO44" s="2" t="n">
        <v>1154.76428222656</v>
      </c>
      <c r="BP44" s="2" t="n">
        <v>1146.62100219727</v>
      </c>
      <c r="BQ44" s="2" t="n">
        <v>1157.76807861328</v>
      </c>
      <c r="BR44" s="2" t="n">
        <v>1000</v>
      </c>
      <c r="BS44" s="2" t="n">
        <v>6.90962360584234</v>
      </c>
      <c r="BT44" s="2" t="n">
        <v>5.65760217119967</v>
      </c>
      <c r="BU44" s="2" t="n">
        <v>8.3112225909478</v>
      </c>
      <c r="BV44" s="2" t="n">
        <v>48.62</v>
      </c>
      <c r="BW44" s="2" t="n">
        <v>3.78</v>
      </c>
      <c r="BX44" s="2" t="n">
        <v>13.42</v>
      </c>
      <c r="BY44" s="2" t="n">
        <v>12.57</v>
      </c>
      <c r="BZ44" s="2" t="n">
        <v>0.23</v>
      </c>
      <c r="CA44" s="2" t="n">
        <v>6.14</v>
      </c>
      <c r="CB44" s="2" t="n">
        <v>11.19</v>
      </c>
      <c r="CC44" s="2" t="n">
        <v>3.21</v>
      </c>
      <c r="CD44" s="2" t="n">
        <v>0.48</v>
      </c>
      <c r="CE44" s="2" t="n">
        <v>0.36</v>
      </c>
      <c r="CF44" s="2" t="n">
        <v>0.15</v>
      </c>
    </row>
    <row r="45" customFormat="false" ht="15" hidden="false" customHeight="false" outlineLevel="0" collapsed="false">
      <c r="A45" s="2" t="s">
        <v>180</v>
      </c>
      <c r="B45" s="2" t="n">
        <v>2009</v>
      </c>
      <c r="C45" s="2" t="s">
        <v>85</v>
      </c>
      <c r="D45" s="2" t="s">
        <v>86</v>
      </c>
      <c r="E45" s="2" t="n">
        <v>155</v>
      </c>
      <c r="F45" s="2" t="s">
        <v>181</v>
      </c>
      <c r="G45" s="2" t="s">
        <v>93</v>
      </c>
      <c r="H45" s="2" t="s">
        <v>108</v>
      </c>
      <c r="I45" s="2" t="n">
        <v>2</v>
      </c>
      <c r="J45" s="2" t="s">
        <v>163</v>
      </c>
      <c r="K45" s="2" t="n">
        <v>49.619879722153</v>
      </c>
      <c r="L45" s="2" t="n">
        <v>1.6173</v>
      </c>
      <c r="M45" s="2" t="n">
        <v>4.69</v>
      </c>
      <c r="N45" s="2" t="n">
        <v>7.26</v>
      </c>
      <c r="O45" s="2" t="n">
        <v>0.1328</v>
      </c>
      <c r="P45" s="2" t="n">
        <v>15.2159863234401</v>
      </c>
      <c r="Q45" s="2" t="n">
        <v>19.8084277119101</v>
      </c>
      <c r="R45" s="2" t="n">
        <v>0.3468</v>
      </c>
      <c r="S45" s="2" t="n">
        <v>0</v>
      </c>
      <c r="T45" s="2" t="n">
        <v>0.6564</v>
      </c>
      <c r="U45" s="2" t="n">
        <v>99.3475937575032</v>
      </c>
      <c r="V45" s="2" t="n">
        <v>2.68242034146461</v>
      </c>
      <c r="W45" s="2" t="n">
        <v>1.84723133222607</v>
      </c>
      <c r="X45" s="2" t="n">
        <v>0.0452954060120867</v>
      </c>
      <c r="Y45" s="2" t="n">
        <v>0.20577526456369</v>
      </c>
      <c r="Z45" s="2" t="n">
        <v>0.22603231502046</v>
      </c>
      <c r="AA45" s="2" t="n">
        <v>0.844454735910341</v>
      </c>
      <c r="AB45" s="2" t="n">
        <v>0.790113804669303</v>
      </c>
      <c r="AC45" s="2" t="n">
        <v>0.0250316187877304</v>
      </c>
      <c r="AD45" s="2" t="n">
        <v>0</v>
      </c>
      <c r="AE45" s="2" t="n">
        <v>0.019319147948082</v>
      </c>
      <c r="AF45" s="2" t="n">
        <v>0.0041873323226404</v>
      </c>
      <c r="AG45" s="2" t="n">
        <v>0.453861306883027</v>
      </c>
      <c r="AH45" s="2" t="n">
        <v>0.121483505900871</v>
      </c>
      <c r="AI45" s="2" t="n">
        <v>0.424655187216103</v>
      </c>
      <c r="AJ45" s="2" t="n">
        <v>78.8850958240062</v>
      </c>
      <c r="AK45" s="2" t="n">
        <v>0.152760716451696</v>
      </c>
      <c r="AL45" s="2" t="n">
        <v>0.0530164613044796</v>
      </c>
      <c r="AM45" s="2" t="n">
        <v>0.0250318919065357</v>
      </c>
      <c r="AN45" s="2" t="n">
        <v>0.0279845693979439</v>
      </c>
      <c r="AO45" s="2" t="n">
        <v>0.0623880735268762</v>
      </c>
      <c r="AP45" s="2" t="n">
        <v>3.0404141806033</v>
      </c>
      <c r="AQ45" s="2" t="n">
        <v>2.59613144024876</v>
      </c>
      <c r="AR45" s="2" t="n">
        <v>4.00018578990964</v>
      </c>
      <c r="AS45" s="2" t="n">
        <v>1117.95324707031</v>
      </c>
      <c r="AT45" s="2" t="n">
        <v>1109.37829589844</v>
      </c>
      <c r="AU45" s="2" t="n">
        <v>1121.3074798584</v>
      </c>
      <c r="AV45" s="2" t="n">
        <v>10.4096954303779</v>
      </c>
      <c r="AW45" s="2" t="n">
        <v>8.92351960758267</v>
      </c>
      <c r="AX45" s="2" t="n">
        <v>13.5794081822233</v>
      </c>
      <c r="AY45" s="2" t="n">
        <v>4.07748390227198</v>
      </c>
      <c r="AZ45" s="2" t="n">
        <v>0.185241594935294</v>
      </c>
      <c r="BA45" s="2" t="n">
        <v>3.50924937605209</v>
      </c>
      <c r="BB45" s="2" t="n">
        <v>4.60996354798675</v>
      </c>
      <c r="BC45" s="2" t="n">
        <v>1470.98884120739</v>
      </c>
      <c r="BD45" s="2" t="n">
        <v>3.57308014782135</v>
      </c>
      <c r="BE45" s="2" t="n">
        <v>44</v>
      </c>
      <c r="BF45" s="2" t="n">
        <v>44</v>
      </c>
      <c r="BG45" s="2" t="n">
        <v>13.8322616403075</v>
      </c>
      <c r="BH45" s="2" t="n">
        <v>0.650251195843627</v>
      </c>
      <c r="BI45" s="2" t="n">
        <v>11.9650304964069</v>
      </c>
      <c r="BJ45" s="2" t="n">
        <v>15.5642423917795</v>
      </c>
      <c r="BK45" s="2" t="n">
        <v>1.9845589924633</v>
      </c>
      <c r="BL45" s="2" t="n">
        <v>1.33042061438191</v>
      </c>
      <c r="BM45" s="2" t="n">
        <v>2.72444478777658</v>
      </c>
      <c r="BN45" s="2" t="n">
        <v>44000</v>
      </c>
      <c r="BO45" s="2" t="n">
        <v>1161.15106201172</v>
      </c>
      <c r="BP45" s="2" t="n">
        <v>1151.27878417969</v>
      </c>
      <c r="BQ45" s="2" t="n">
        <v>1165.14822692871</v>
      </c>
      <c r="BR45" s="2" t="n">
        <v>44000</v>
      </c>
      <c r="BS45" s="2" t="n">
        <v>6.85817518744632</v>
      </c>
      <c r="BT45" s="2" t="n">
        <v>4.62399426206684</v>
      </c>
      <c r="BU45" s="2" t="n">
        <v>9.35397066747391</v>
      </c>
      <c r="BV45" s="2" t="n">
        <v>48.77</v>
      </c>
      <c r="BW45" s="2" t="n">
        <v>3.43</v>
      </c>
      <c r="BX45" s="2" t="n">
        <v>13.84</v>
      </c>
      <c r="BY45" s="2" t="n">
        <v>11.98</v>
      </c>
      <c r="BZ45" s="2" t="n">
        <v>0.17</v>
      </c>
      <c r="CA45" s="2" t="n">
        <v>6.53</v>
      </c>
      <c r="CB45" s="2" t="n">
        <v>11.6</v>
      </c>
      <c r="CC45" s="2" t="n">
        <v>2.96</v>
      </c>
      <c r="CD45" s="2" t="n">
        <v>0.45</v>
      </c>
      <c r="CE45" s="2" t="n">
        <v>0.27</v>
      </c>
      <c r="CF45" s="2" t="n">
        <v>0.15</v>
      </c>
    </row>
    <row r="46" customFormat="false" ht="15" hidden="false" customHeight="false" outlineLevel="0" collapsed="false">
      <c r="A46" s="2" t="s">
        <v>182</v>
      </c>
      <c r="B46" s="2" t="n">
        <v>2009</v>
      </c>
      <c r="C46" s="2" t="s">
        <v>85</v>
      </c>
      <c r="D46" s="2" t="s">
        <v>86</v>
      </c>
      <c r="E46" s="2" t="n">
        <v>156</v>
      </c>
      <c r="F46" s="2" t="s">
        <v>183</v>
      </c>
      <c r="G46" s="2" t="s">
        <v>97</v>
      </c>
      <c r="H46" s="2" t="s">
        <v>108</v>
      </c>
      <c r="I46" s="2" t="n">
        <v>2</v>
      </c>
      <c r="J46" s="2" t="s">
        <v>163</v>
      </c>
      <c r="K46" s="2" t="n">
        <v>49.126700390229</v>
      </c>
      <c r="L46" s="2" t="n">
        <v>1.77</v>
      </c>
      <c r="M46" s="2" t="n">
        <v>5.87</v>
      </c>
      <c r="N46" s="2" t="n">
        <v>6.67</v>
      </c>
      <c r="O46" s="2" t="n">
        <v>0.1638</v>
      </c>
      <c r="P46" s="2" t="n">
        <v>14.2606784442338</v>
      </c>
      <c r="Q46" s="2" t="n">
        <v>19.9232591769066</v>
      </c>
      <c r="R46" s="2" t="n">
        <v>0.3192</v>
      </c>
      <c r="S46" s="2" t="n">
        <v>0</v>
      </c>
      <c r="T46" s="2" t="n">
        <v>0.8699</v>
      </c>
      <c r="U46" s="2" t="n">
        <v>98.9735380113695</v>
      </c>
      <c r="V46" s="2" t="n">
        <v>2.63456085846521</v>
      </c>
      <c r="W46" s="2" t="n">
        <v>1.86209473984137</v>
      </c>
      <c r="X46" s="2" t="n">
        <v>0.0504725718841406</v>
      </c>
      <c r="Y46" s="2" t="n">
        <v>0.262226770171407</v>
      </c>
      <c r="Z46" s="2" t="n">
        <v>0.211435713125991</v>
      </c>
      <c r="AA46" s="2" t="n">
        <v>0.805814452520102</v>
      </c>
      <c r="AB46" s="2" t="n">
        <v>0.80913060414253</v>
      </c>
      <c r="AC46" s="2" t="n">
        <v>0.0234580187264401</v>
      </c>
      <c r="AD46" s="2" t="n">
        <v>0</v>
      </c>
      <c r="AE46" s="2" t="n">
        <v>0.0260679767746328</v>
      </c>
      <c r="AF46" s="2" t="n">
        <v>0.00525862074636356</v>
      </c>
      <c r="AG46" s="2" t="n">
        <v>0.441208353619143</v>
      </c>
      <c r="AH46" s="2" t="n">
        <v>0.115767597109808</v>
      </c>
      <c r="AI46" s="2" t="n">
        <v>0.443024049271048</v>
      </c>
      <c r="AJ46" s="2" t="n">
        <v>79.2149738317614</v>
      </c>
      <c r="AK46" s="2"/>
      <c r="AL46" s="2"/>
      <c r="AM46" s="2"/>
      <c r="AN46" s="2"/>
      <c r="AO46" s="2"/>
      <c r="AP46" s="2" t="n">
        <v>3.98600034890292</v>
      </c>
      <c r="AQ46" s="2" t="n">
        <v>3.44759562788127</v>
      </c>
      <c r="AR46" s="2" t="n">
        <v>4.43337453780292</v>
      </c>
      <c r="AS46" s="2" t="n">
        <v>1136.17041015625</v>
      </c>
      <c r="AT46" s="2" t="n">
        <v>1131.4884185791</v>
      </c>
      <c r="AU46" s="2" t="n">
        <v>1139.38944396973</v>
      </c>
      <c r="AV46" s="2" t="n">
        <v>13.5329662036297</v>
      </c>
      <c r="AW46" s="2" t="n">
        <v>11.7612582249822</v>
      </c>
      <c r="AX46" s="2" t="n">
        <v>14.9917608007504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customFormat="false" ht="15" hidden="false" customHeight="false" outlineLevel="0" collapsed="false">
      <c r="A47" s="2" t="s">
        <v>184</v>
      </c>
      <c r="B47" s="2" t="n">
        <v>2009</v>
      </c>
      <c r="C47" s="2" t="s">
        <v>85</v>
      </c>
      <c r="D47" s="2" t="s">
        <v>86</v>
      </c>
      <c r="E47" s="2" t="n">
        <v>157</v>
      </c>
      <c r="F47" s="2" t="s">
        <v>185</v>
      </c>
      <c r="G47" s="2" t="s">
        <v>97</v>
      </c>
      <c r="H47" s="2" t="s">
        <v>108</v>
      </c>
      <c r="I47" s="2" t="n">
        <v>2</v>
      </c>
      <c r="J47" s="2" t="s">
        <v>163</v>
      </c>
      <c r="K47" s="2" t="n">
        <v>49.2474790021288</v>
      </c>
      <c r="L47" s="2" t="n">
        <v>1.77</v>
      </c>
      <c r="M47" s="2" t="n">
        <v>5.3</v>
      </c>
      <c r="N47" s="2" t="n">
        <v>6.92</v>
      </c>
      <c r="O47" s="2" t="n">
        <v>0.1447</v>
      </c>
      <c r="P47" s="2" t="n">
        <v>14.6447713028838</v>
      </c>
      <c r="Q47" s="2" t="n">
        <v>20.1624913956495</v>
      </c>
      <c r="R47" s="2" t="n">
        <v>0.2906</v>
      </c>
      <c r="S47" s="2" t="n">
        <v>0.0007</v>
      </c>
      <c r="T47" s="2" t="n">
        <v>0.8852</v>
      </c>
      <c r="U47" s="2" t="n">
        <v>99.365941700662</v>
      </c>
      <c r="V47" s="2" t="n">
        <v>2.68298937641957</v>
      </c>
      <c r="W47" s="2" t="n">
        <v>1.83297889115264</v>
      </c>
      <c r="X47" s="2" t="n">
        <v>0.0495615314323309</v>
      </c>
      <c r="Y47" s="2" t="n">
        <v>0.232489892335169</v>
      </c>
      <c r="Z47" s="2" t="n">
        <v>0.215401085519822</v>
      </c>
      <c r="AA47" s="2" t="n">
        <v>0.812581145708154</v>
      </c>
      <c r="AB47" s="2" t="n">
        <v>0.804066041341406</v>
      </c>
      <c r="AC47" s="2" t="n">
        <v>0.0209707198321873</v>
      </c>
      <c r="AD47" s="2" t="n">
        <v>3.32378162496513E-005</v>
      </c>
      <c r="AE47" s="2" t="n">
        <v>0.0260476580568611</v>
      </c>
      <c r="AF47" s="2" t="n">
        <v>0.00456158494226142</v>
      </c>
      <c r="AG47" s="2" t="n">
        <v>0.443536973274475</v>
      </c>
      <c r="AH47" s="2" t="n">
        <v>0.117573913714473</v>
      </c>
      <c r="AI47" s="2" t="n">
        <v>0.438889113011052</v>
      </c>
      <c r="AJ47" s="2" t="n">
        <v>79.0462248299259</v>
      </c>
      <c r="AK47" s="2" t="n">
        <v>0.167012963775875</v>
      </c>
      <c r="AL47" s="2" t="n">
        <v>0.065479122486742</v>
      </c>
      <c r="AM47" s="2" t="n">
        <v>0.0209709515612603</v>
      </c>
      <c r="AN47" s="2" t="n">
        <v>0.0445081709254817</v>
      </c>
      <c r="AO47" s="2" t="n">
        <v>0.0612523964251966</v>
      </c>
      <c r="AP47" s="2" t="n">
        <v>3.27650164574112</v>
      </c>
      <c r="AQ47" s="2" t="n">
        <v>2.70232839196648</v>
      </c>
      <c r="AR47" s="2" t="n">
        <v>3.97219900101151</v>
      </c>
      <c r="AS47" s="2" t="n">
        <v>1138.68701171875</v>
      </c>
      <c r="AT47" s="2" t="n">
        <v>1135.28014526367</v>
      </c>
      <c r="AU47" s="2" t="n">
        <v>1141.70067749023</v>
      </c>
      <c r="AV47" s="2" t="n">
        <v>11.1945676063145</v>
      </c>
      <c r="AW47" s="2" t="n">
        <v>9.27984825755269</v>
      </c>
      <c r="AX47" s="2" t="n">
        <v>13.4877700110762</v>
      </c>
      <c r="AY47" s="2" t="n">
        <v>2.91425956690171</v>
      </c>
      <c r="AZ47" s="2" t="n">
        <v>0.167181616531004</v>
      </c>
      <c r="BA47" s="2" t="n">
        <v>2.38592058511343</v>
      </c>
      <c r="BB47" s="2" t="n">
        <v>3.45138947315048</v>
      </c>
      <c r="BC47" s="2" t="n">
        <v>1455.05283463653</v>
      </c>
      <c r="BD47" s="2" t="n">
        <v>3.49408640549995</v>
      </c>
      <c r="BE47" s="2" t="n">
        <v>41</v>
      </c>
      <c r="BF47" s="2" t="n">
        <v>41</v>
      </c>
      <c r="BG47" s="2" t="n">
        <v>9.98891007392439</v>
      </c>
      <c r="BH47" s="2" t="n">
        <v>0.586946969866309</v>
      </c>
      <c r="BI47" s="2" t="n">
        <v>8.21617188893472</v>
      </c>
      <c r="BJ47" s="2" t="n">
        <v>11.7738039429999</v>
      </c>
      <c r="BK47" s="2" t="n">
        <v>1.94462135189657</v>
      </c>
      <c r="BL47" s="2" t="n">
        <v>1.59901915420272</v>
      </c>
      <c r="BM47" s="2" t="n">
        <v>2.34052590360953</v>
      </c>
      <c r="BN47" s="2" t="n">
        <v>41000</v>
      </c>
      <c r="BO47" s="2" t="n">
        <v>1158.59643554688</v>
      </c>
      <c r="BP47" s="2" t="n">
        <v>1149.68161010742</v>
      </c>
      <c r="BQ47" s="2" t="n">
        <v>1162.3034942627</v>
      </c>
      <c r="BR47" s="2" t="n">
        <v>41000</v>
      </c>
      <c r="BS47" s="2" t="n">
        <v>6.72251317940492</v>
      </c>
      <c r="BT47" s="2" t="n">
        <v>5.54451851791947</v>
      </c>
      <c r="BU47" s="2" t="n">
        <v>8.0630697608851</v>
      </c>
      <c r="BV47" s="2" t="n">
        <v>48.77</v>
      </c>
      <c r="BW47" s="2" t="n">
        <v>3.43</v>
      </c>
      <c r="BX47" s="2" t="n">
        <v>13.84</v>
      </c>
      <c r="BY47" s="2" t="n">
        <v>11.98</v>
      </c>
      <c r="BZ47" s="2" t="n">
        <v>0.17</v>
      </c>
      <c r="CA47" s="2" t="n">
        <v>6.53</v>
      </c>
      <c r="CB47" s="2" t="n">
        <v>11.6</v>
      </c>
      <c r="CC47" s="2" t="n">
        <v>2.96</v>
      </c>
      <c r="CD47" s="2" t="n">
        <v>0.45</v>
      </c>
      <c r="CE47" s="2" t="n">
        <v>0.27</v>
      </c>
      <c r="CF47" s="2" t="n">
        <v>0.15</v>
      </c>
    </row>
    <row r="48" customFormat="false" ht="15" hidden="false" customHeight="false" outlineLevel="0" collapsed="false">
      <c r="A48" s="2" t="s">
        <v>186</v>
      </c>
      <c r="B48" s="2" t="n">
        <v>2009</v>
      </c>
      <c r="C48" s="2" t="s">
        <v>187</v>
      </c>
      <c r="D48" s="2" t="s">
        <v>188</v>
      </c>
      <c r="E48" s="2" t="n">
        <v>186</v>
      </c>
      <c r="F48" s="2" t="s">
        <v>189</v>
      </c>
      <c r="G48" s="2" t="s">
        <v>93</v>
      </c>
      <c r="H48" s="2" t="s">
        <v>94</v>
      </c>
      <c r="I48" s="2" t="n">
        <v>1</v>
      </c>
      <c r="J48" s="2" t="s">
        <v>90</v>
      </c>
      <c r="K48" s="2" t="n">
        <v>47.7821346150009</v>
      </c>
      <c r="L48" s="2" t="n">
        <v>2.39</v>
      </c>
      <c r="M48" s="2" t="n">
        <v>5.72</v>
      </c>
      <c r="N48" s="2" t="n">
        <v>7.78</v>
      </c>
      <c r="O48" s="2" t="n">
        <v>0.1662</v>
      </c>
      <c r="P48" s="2" t="n">
        <v>14.213370785202</v>
      </c>
      <c r="Q48" s="2" t="n">
        <v>20.3150565230522</v>
      </c>
      <c r="R48" s="2" t="n">
        <v>0.3485</v>
      </c>
      <c r="S48" s="2" t="n">
        <v>0.0007</v>
      </c>
      <c r="T48" s="2" t="n">
        <v>0.4792</v>
      </c>
      <c r="U48" s="2" t="n">
        <v>99.195161923255</v>
      </c>
      <c r="V48" s="2" t="n">
        <v>2.59945701892756</v>
      </c>
      <c r="W48" s="2" t="n">
        <v>1.83558846332756</v>
      </c>
      <c r="X48" s="2" t="n">
        <v>0.0690725777829045</v>
      </c>
      <c r="Y48" s="2" t="n">
        <v>0.25897661358672</v>
      </c>
      <c r="Z48" s="2" t="n">
        <v>0.249952625105199</v>
      </c>
      <c r="AA48" s="2" t="n">
        <v>0.813987142500432</v>
      </c>
      <c r="AB48" s="2" t="n">
        <v>0.83618403744774</v>
      </c>
      <c r="AC48" s="2" t="n">
        <v>0.025957138997462</v>
      </c>
      <c r="AD48" s="2" t="n">
        <v>3.43058982102313E-005</v>
      </c>
      <c r="AE48" s="2" t="n">
        <v>0.014553933903325</v>
      </c>
      <c r="AF48" s="2" t="n">
        <v>0.00540772460860636</v>
      </c>
      <c r="AG48" s="2" t="n">
        <v>0.428386371633068</v>
      </c>
      <c r="AH48" s="2" t="n">
        <v>0.131545441639356</v>
      </c>
      <c r="AI48" s="2" t="n">
        <v>0.440068186727576</v>
      </c>
      <c r="AJ48" s="2" t="n">
        <v>76.5068819950484</v>
      </c>
      <c r="AK48" s="2"/>
      <c r="AL48" s="2"/>
      <c r="AM48" s="2"/>
      <c r="AN48" s="2"/>
      <c r="AO48" s="2"/>
      <c r="AP48" s="2" t="n">
        <v>1.88443637709775</v>
      </c>
      <c r="AQ48" s="2" t="n">
        <v>1.50999716143765</v>
      </c>
      <c r="AR48" s="2" t="n">
        <v>2.63013470392384</v>
      </c>
      <c r="AS48" s="2" t="n">
        <v>1130.50793457031</v>
      </c>
      <c r="AT48" s="2" t="n">
        <v>1126.43093261719</v>
      </c>
      <c r="AU48" s="2" t="n">
        <v>1135.91704101563</v>
      </c>
      <c r="AV48" s="2" t="n">
        <v>6.51789151432029</v>
      </c>
      <c r="AW48" s="2" t="n">
        <v>5.23991224964389</v>
      </c>
      <c r="AX48" s="2" t="n">
        <v>9.03768706613407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customFormat="false" ht="15" hidden="false" customHeight="false" outlineLevel="0" collapsed="false">
      <c r="A49" s="2" t="s">
        <v>190</v>
      </c>
      <c r="B49" s="2" t="n">
        <v>2009</v>
      </c>
      <c r="C49" s="2" t="s">
        <v>187</v>
      </c>
      <c r="D49" s="2" t="s">
        <v>188</v>
      </c>
      <c r="E49" s="2" t="n">
        <v>187</v>
      </c>
      <c r="F49" s="2" t="s">
        <v>191</v>
      </c>
      <c r="G49" s="2" t="s">
        <v>88</v>
      </c>
      <c r="H49" s="2" t="s">
        <v>94</v>
      </c>
      <c r="I49" s="2" t="n">
        <v>1</v>
      </c>
      <c r="J49" s="2" t="s">
        <v>90</v>
      </c>
      <c r="K49" s="2" t="n">
        <v>47.499220728509</v>
      </c>
      <c r="L49" s="2" t="n">
        <v>2.78</v>
      </c>
      <c r="M49" s="2" t="n">
        <v>5.62</v>
      </c>
      <c r="N49" s="2" t="n">
        <v>7.98</v>
      </c>
      <c r="O49" s="2" t="n">
        <v>0.165</v>
      </c>
      <c r="P49" s="2" t="n">
        <v>13.8676401444809</v>
      </c>
      <c r="Q49" s="2" t="n">
        <v>20.4977285883328</v>
      </c>
      <c r="R49" s="2" t="n">
        <v>0.3618</v>
      </c>
      <c r="S49" s="2" t="n">
        <v>0</v>
      </c>
      <c r="T49" s="2" t="n">
        <v>0.4026</v>
      </c>
      <c r="U49" s="2" t="n">
        <v>99.1739894613226</v>
      </c>
      <c r="V49" s="2" t="n">
        <v>2.58323906707161</v>
      </c>
      <c r="W49" s="2" t="n">
        <v>1.83617596189332</v>
      </c>
      <c r="X49" s="2" t="n">
        <v>0.0808482455682801</v>
      </c>
      <c r="Y49" s="2" t="n">
        <v>0.256046518684413</v>
      </c>
      <c r="Z49" s="2" t="n">
        <v>0.25798772185378</v>
      </c>
      <c r="AA49" s="2" t="n">
        <v>0.799173479996653</v>
      </c>
      <c r="AB49" s="2" t="n">
        <v>0.848999856673029</v>
      </c>
      <c r="AC49" s="2" t="n">
        <v>0.0271169377233505</v>
      </c>
      <c r="AD49" s="2" t="n">
        <v>0</v>
      </c>
      <c r="AE49" s="2" t="n">
        <v>0.0123042571877304</v>
      </c>
      <c r="AF49" s="2" t="n">
        <v>0.00540238502001912</v>
      </c>
      <c r="AG49" s="2" t="n">
        <v>0.419258108554428</v>
      </c>
      <c r="AH49" s="2" t="n">
        <v>0.135344136163195</v>
      </c>
      <c r="AI49" s="2" t="n">
        <v>0.445397755282377</v>
      </c>
      <c r="AJ49" s="2" t="n">
        <v>75.5961795228388</v>
      </c>
      <c r="AK49" s="2"/>
      <c r="AL49" s="2"/>
      <c r="AM49" s="2"/>
      <c r="AN49" s="2"/>
      <c r="AO49" s="2"/>
      <c r="AP49" s="2" t="n">
        <v>1.48229263082228</v>
      </c>
      <c r="AQ49" s="2" t="n">
        <v>1.20457274571142</v>
      </c>
      <c r="AR49" s="2" t="n">
        <v>2.42073570147238</v>
      </c>
      <c r="AS49" s="2" t="n">
        <v>1129.2041015625</v>
      </c>
      <c r="AT49" s="2" t="n">
        <v>1123.88925170898</v>
      </c>
      <c r="AU49" s="2" t="n">
        <v>1136.86428222656</v>
      </c>
      <c r="AV49" s="2" t="n">
        <v>5.14501775997333</v>
      </c>
      <c r="AW49" s="2" t="n">
        <v>4.19119215300556</v>
      </c>
      <c r="AX49" s="2" t="n">
        <v>8.33350782431433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customFormat="false" ht="15" hidden="false" customHeight="false" outlineLevel="0" collapsed="false">
      <c r="A50" s="2" t="s">
        <v>192</v>
      </c>
      <c r="B50" s="2" t="n">
        <v>2009</v>
      </c>
      <c r="C50" s="2" t="s">
        <v>187</v>
      </c>
      <c r="D50" s="2" t="s">
        <v>188</v>
      </c>
      <c r="E50" s="2" t="n">
        <v>188</v>
      </c>
      <c r="F50" s="2" t="s">
        <v>193</v>
      </c>
      <c r="G50" s="2" t="s">
        <v>93</v>
      </c>
      <c r="H50" s="2" t="s">
        <v>89</v>
      </c>
      <c r="I50" s="2" t="n">
        <v>1</v>
      </c>
      <c r="J50" s="2" t="s">
        <v>90</v>
      </c>
      <c r="K50" s="2" t="n">
        <v>51.0053321075332</v>
      </c>
      <c r="L50" s="2" t="n">
        <v>1.4125</v>
      </c>
      <c r="M50" s="2" t="n">
        <v>3.16</v>
      </c>
      <c r="N50" s="2" t="n">
        <v>8.07</v>
      </c>
      <c r="O50" s="2" t="n">
        <v>0.1972</v>
      </c>
      <c r="P50" s="2" t="n">
        <v>16.4510163209804</v>
      </c>
      <c r="Q50" s="2" t="n">
        <v>18.5844790624987</v>
      </c>
      <c r="R50" s="2" t="n">
        <v>0.2538</v>
      </c>
      <c r="S50" s="2" t="n">
        <v>0</v>
      </c>
      <c r="T50" s="2" t="n">
        <v>0.2892</v>
      </c>
      <c r="U50" s="2" t="n">
        <v>99.4235274910123</v>
      </c>
      <c r="V50" s="2" t="n">
        <v>2.69064253629452</v>
      </c>
      <c r="W50" s="2" t="n">
        <v>1.89300599340912</v>
      </c>
      <c r="X50" s="2" t="n">
        <v>0.0394387241465729</v>
      </c>
      <c r="Y50" s="2" t="n">
        <v>0.138222339298079</v>
      </c>
      <c r="Z50" s="2" t="n">
        <v>0.250483012184306</v>
      </c>
      <c r="AA50" s="2" t="n">
        <v>0.910206284573805</v>
      </c>
      <c r="AB50" s="2" t="n">
        <v>0.739027955543182</v>
      </c>
      <c r="AC50" s="2" t="n">
        <v>0.0182630074092782</v>
      </c>
      <c r="AD50" s="2" t="n">
        <v>0</v>
      </c>
      <c r="AE50" s="2" t="n">
        <v>0.00848571643075813</v>
      </c>
      <c r="AF50" s="2" t="n">
        <v>0.00619893518163093</v>
      </c>
      <c r="AG50" s="2" t="n">
        <v>0.479127240367583</v>
      </c>
      <c r="AH50" s="2" t="n">
        <v>0.13185278592426</v>
      </c>
      <c r="AI50" s="2" t="n">
        <v>0.389019973708158</v>
      </c>
      <c r="AJ50" s="2" t="n">
        <v>78.4194604978333</v>
      </c>
      <c r="AK50" s="2" t="n">
        <v>0.106986056050713</v>
      </c>
      <c r="AL50" s="2" t="n">
        <v>0.031237553923376</v>
      </c>
      <c r="AM50" s="2" t="n">
        <v>0.0182632047676095</v>
      </c>
      <c r="AN50" s="2" t="n">
        <v>0.0129743491557665</v>
      </c>
      <c r="AO50" s="2" t="n">
        <v>0.047005853447473</v>
      </c>
      <c r="AP50" s="2" t="n">
        <v>0.681208906504363</v>
      </c>
      <c r="AQ50" s="2" t="n">
        <v>0.158723668190688</v>
      </c>
      <c r="AR50" s="2" t="n">
        <v>1.05742842349693</v>
      </c>
      <c r="AS50" s="2" t="n">
        <v>1135.57080078125</v>
      </c>
      <c r="AT50" s="2" t="n">
        <v>1129.37331542969</v>
      </c>
      <c r="AU50" s="2" t="n">
        <v>1139.28469848633</v>
      </c>
      <c r="AV50" s="2" t="n">
        <v>2.38100181347737</v>
      </c>
      <c r="AW50" s="2" t="n">
        <v>0.557293190945471</v>
      </c>
      <c r="AX50" s="2" t="n">
        <v>3.68393250158704</v>
      </c>
      <c r="AY50" s="2" t="n">
        <v>2.12335044737517</v>
      </c>
      <c r="AZ50" s="2" t="n">
        <v>0.156578670838377</v>
      </c>
      <c r="BA50" s="2" t="n">
        <v>1.58172076518637</v>
      </c>
      <c r="BB50" s="2" t="n">
        <v>2.67286997271158</v>
      </c>
      <c r="BC50" s="2" t="n">
        <v>1457.52588354883</v>
      </c>
      <c r="BD50" s="2" t="n">
        <v>3.33618596003278</v>
      </c>
      <c r="BE50" s="2" t="n">
        <v>14</v>
      </c>
      <c r="BF50" s="2" t="n">
        <v>14</v>
      </c>
      <c r="BG50" s="2" t="n">
        <v>7.32887673911858</v>
      </c>
      <c r="BH50" s="2" t="n">
        <v>0.549772087331757</v>
      </c>
      <c r="BI50" s="2" t="n">
        <v>5.48536626877441</v>
      </c>
      <c r="BJ50" s="2" t="n">
        <v>9.18107325015863</v>
      </c>
      <c r="BK50" s="2" t="n">
        <v>0.366687153610325</v>
      </c>
      <c r="BL50" s="2" t="n">
        <v>0</v>
      </c>
      <c r="BM50" s="2" t="n">
        <v>0.94452431929076</v>
      </c>
      <c r="BN50" s="2" t="n">
        <v>14000</v>
      </c>
      <c r="BO50" s="2" t="n">
        <v>1160.26000976563</v>
      </c>
      <c r="BP50" s="2" t="n">
        <v>1151.92379760742</v>
      </c>
      <c r="BQ50" s="2" t="n">
        <v>1164.47819213867</v>
      </c>
      <c r="BR50" s="2" t="n">
        <v>14000</v>
      </c>
      <c r="BS50" s="2" t="n">
        <v>1.28516124147927</v>
      </c>
      <c r="BT50" s="2" t="n">
        <v>0</v>
      </c>
      <c r="BU50" s="2" t="n">
        <v>3.29382163064551</v>
      </c>
      <c r="BV50" s="2" t="n">
        <v>48.26</v>
      </c>
      <c r="BW50" s="2" t="n">
        <v>3.66</v>
      </c>
      <c r="BX50" s="2" t="n">
        <v>13.59</v>
      </c>
      <c r="BY50" s="2" t="n">
        <v>12.44</v>
      </c>
      <c r="BZ50" s="2" t="n">
        <v>0.2</v>
      </c>
      <c r="CA50" s="2" t="n">
        <v>6.41</v>
      </c>
      <c r="CB50" s="2" t="n">
        <v>11.52</v>
      </c>
      <c r="CC50" s="2" t="n">
        <v>3.18</v>
      </c>
      <c r="CD50" s="2" t="n">
        <v>0.46</v>
      </c>
      <c r="CE50" s="2" t="n">
        <v>0.3</v>
      </c>
      <c r="CF50" s="2" t="n">
        <v>0.15</v>
      </c>
    </row>
    <row r="51" customFormat="false" ht="15" hidden="false" customHeight="false" outlineLevel="0" collapsed="false">
      <c r="A51" s="2" t="s">
        <v>194</v>
      </c>
      <c r="B51" s="2" t="n">
        <v>2009</v>
      </c>
      <c r="C51" s="2" t="s">
        <v>187</v>
      </c>
      <c r="D51" s="2" t="s">
        <v>188</v>
      </c>
      <c r="E51" s="2" t="n">
        <v>189</v>
      </c>
      <c r="F51" s="2" t="s">
        <v>195</v>
      </c>
      <c r="G51" s="2" t="s">
        <v>97</v>
      </c>
      <c r="H51" s="2" t="s">
        <v>89</v>
      </c>
      <c r="I51" s="2" t="n">
        <v>1</v>
      </c>
      <c r="J51" s="2" t="s">
        <v>163</v>
      </c>
      <c r="K51" s="2" t="n">
        <v>52.0157388450041</v>
      </c>
      <c r="L51" s="2" t="n">
        <v>1.0761</v>
      </c>
      <c r="M51" s="2" t="n">
        <v>2.2</v>
      </c>
      <c r="N51" s="2" t="n">
        <v>7.68</v>
      </c>
      <c r="O51" s="2" t="n">
        <v>0.2</v>
      </c>
      <c r="P51" s="2" t="n">
        <v>17.6322626767776</v>
      </c>
      <c r="Q51" s="2" t="n">
        <v>18.074920143558</v>
      </c>
      <c r="R51" s="2" t="n">
        <v>0.1911</v>
      </c>
      <c r="S51" s="2" t="n">
        <v>0.0049</v>
      </c>
      <c r="T51" s="2" t="n">
        <v>0.4039</v>
      </c>
      <c r="U51" s="2" t="n">
        <v>99.4789216653397</v>
      </c>
      <c r="V51" s="2" t="n">
        <v>2.67679432217492</v>
      </c>
      <c r="W51" s="2" t="n">
        <v>1.94049345475051</v>
      </c>
      <c r="X51" s="2" t="n">
        <v>0.0302014666030049</v>
      </c>
      <c r="Y51" s="2" t="n">
        <v>0.0967285857779187</v>
      </c>
      <c r="Z51" s="2" t="n">
        <v>0.239611117044563</v>
      </c>
      <c r="AA51" s="2" t="n">
        <v>0.980609609778455</v>
      </c>
      <c r="AB51" s="2" t="n">
        <v>0.722483383981402</v>
      </c>
      <c r="AC51" s="2" t="n">
        <v>0.013822365282254</v>
      </c>
      <c r="AD51" s="2" t="n">
        <v>0.00023320318265813</v>
      </c>
      <c r="AE51" s="2" t="n">
        <v>0.0119125594368953</v>
      </c>
      <c r="AF51" s="2" t="n">
        <v>0.00631947763988162</v>
      </c>
      <c r="AG51" s="2" t="n">
        <v>0.504765293039099</v>
      </c>
      <c r="AH51" s="2" t="n">
        <v>0.123338966398412</v>
      </c>
      <c r="AI51" s="2" t="n">
        <v>0.371895740562489</v>
      </c>
      <c r="AJ51" s="2" t="n">
        <v>80.3632972479973</v>
      </c>
      <c r="AK51" s="2"/>
      <c r="AL51" s="2"/>
      <c r="AM51" s="2"/>
      <c r="AN51" s="2"/>
      <c r="AO51" s="2"/>
      <c r="AP51" s="2" t="n">
        <v>0</v>
      </c>
      <c r="AQ51" s="2" t="n">
        <v>0</v>
      </c>
      <c r="AR51" s="2" t="n">
        <v>0.205946210803745</v>
      </c>
      <c r="AS51" s="2" t="n">
        <v>1141.77893066406</v>
      </c>
      <c r="AT51" s="2" t="n">
        <v>1136.20942687988</v>
      </c>
      <c r="AU51" s="2" t="n">
        <v>1145.46010742188</v>
      </c>
      <c r="AV51" s="2" t="n">
        <v>0</v>
      </c>
      <c r="AW51" s="2" t="n">
        <v>0</v>
      </c>
      <c r="AX51" s="2" t="n">
        <v>0.722801143160032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customFormat="false" ht="15" hidden="false" customHeight="false" outlineLevel="0" collapsed="false">
      <c r="A52" s="2" t="s">
        <v>196</v>
      </c>
      <c r="B52" s="2" t="n">
        <v>2009</v>
      </c>
      <c r="C52" s="2" t="s">
        <v>187</v>
      </c>
      <c r="D52" s="2" t="s">
        <v>188</v>
      </c>
      <c r="E52" s="2" t="n">
        <v>190</v>
      </c>
      <c r="F52" s="2" t="s">
        <v>197</v>
      </c>
      <c r="G52" s="2" t="s">
        <v>93</v>
      </c>
      <c r="H52" s="2" t="s">
        <v>94</v>
      </c>
      <c r="I52" s="2" t="n">
        <v>1</v>
      </c>
      <c r="J52" s="2" t="s">
        <v>163</v>
      </c>
      <c r="K52" s="2" t="n">
        <v>47.9437996929962</v>
      </c>
      <c r="L52" s="2" t="n">
        <v>2.53</v>
      </c>
      <c r="M52" s="2" t="n">
        <v>6.1</v>
      </c>
      <c r="N52" s="2" t="n">
        <v>7.7</v>
      </c>
      <c r="O52" s="2" t="n">
        <v>0.1507</v>
      </c>
      <c r="P52" s="2" t="n">
        <v>14.2325780430198</v>
      </c>
      <c r="Q52" s="2" t="n">
        <v>20.1516130962221</v>
      </c>
      <c r="R52" s="2" t="n">
        <v>0.3769</v>
      </c>
      <c r="S52" s="2" t="n">
        <v>0.0014</v>
      </c>
      <c r="T52" s="2" t="n">
        <v>0.6747</v>
      </c>
      <c r="U52" s="2" t="n">
        <v>99.8616908322381</v>
      </c>
      <c r="V52" s="2" t="n">
        <v>2.61657325976926</v>
      </c>
      <c r="W52" s="2" t="n">
        <v>1.82975087867869</v>
      </c>
      <c r="X52" s="2" t="n">
        <v>0.0726403664679606</v>
      </c>
      <c r="Y52" s="2" t="n">
        <v>0.274374721044947</v>
      </c>
      <c r="Z52" s="2" t="n">
        <v>0.245764172989532</v>
      </c>
      <c r="AA52" s="2" t="n">
        <v>0.809755255479313</v>
      </c>
      <c r="AB52" s="2" t="n">
        <v>0.824030707771361</v>
      </c>
      <c r="AC52" s="2" t="n">
        <v>0.0278888059108482</v>
      </c>
      <c r="AD52" s="2" t="n">
        <v>6.81629742719792E-005</v>
      </c>
      <c r="AE52" s="2" t="n">
        <v>0.0203574811421897</v>
      </c>
      <c r="AF52" s="2" t="n">
        <v>0.00487131867915415</v>
      </c>
      <c r="AG52" s="2" t="n">
        <v>0.430823972112349</v>
      </c>
      <c r="AH52" s="2" t="n">
        <v>0.130756912652062</v>
      </c>
      <c r="AI52" s="2" t="n">
        <v>0.438419115235588</v>
      </c>
      <c r="AJ52" s="2" t="n">
        <v>76.7162814476999</v>
      </c>
      <c r="AK52" s="2"/>
      <c r="AL52" s="2"/>
      <c r="AM52" s="2"/>
      <c r="AN52" s="2"/>
      <c r="AO52" s="2"/>
      <c r="AP52" s="2" t="n">
        <v>2.49762943422285</v>
      </c>
      <c r="AQ52" s="2" t="n">
        <v>2.05384888088194</v>
      </c>
      <c r="AR52" s="2" t="n">
        <v>3.0791003946015</v>
      </c>
      <c r="AS52" s="2" t="n">
        <v>1138.78125</v>
      </c>
      <c r="AT52" s="2" t="n">
        <v>1132.15029907227</v>
      </c>
      <c r="AU52" s="2" t="n">
        <v>1142.64137573242</v>
      </c>
      <c r="AV52" s="2" t="n">
        <v>8.59239929822603</v>
      </c>
      <c r="AW52" s="2" t="n">
        <v>7.09331293496016</v>
      </c>
      <c r="AX52" s="2" t="n">
        <v>10.5385390424064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customFormat="false" ht="15" hidden="false" customHeight="false" outlineLevel="0" collapsed="false">
      <c r="A53" s="2" t="s">
        <v>198</v>
      </c>
      <c r="B53" s="2" t="n">
        <v>2009</v>
      </c>
      <c r="C53" s="2" t="s">
        <v>187</v>
      </c>
      <c r="D53" s="2" t="s">
        <v>188</v>
      </c>
      <c r="E53" s="2" t="n">
        <v>191</v>
      </c>
      <c r="F53" s="2" t="s">
        <v>199</v>
      </c>
      <c r="G53" s="2" t="s">
        <v>88</v>
      </c>
      <c r="H53" s="2" t="s">
        <v>94</v>
      </c>
      <c r="I53" s="2" t="n">
        <v>1</v>
      </c>
      <c r="J53" s="2" t="s">
        <v>163</v>
      </c>
      <c r="K53" s="2" t="n">
        <v>48.4995233986052</v>
      </c>
      <c r="L53" s="2" t="n">
        <v>2.12</v>
      </c>
      <c r="M53" s="2" t="n">
        <v>5.27</v>
      </c>
      <c r="N53" s="2" t="n">
        <v>7.14</v>
      </c>
      <c r="O53" s="2" t="n">
        <v>0.1603</v>
      </c>
      <c r="P53" s="2" t="n">
        <v>14.6551377150123</v>
      </c>
      <c r="Q53" s="2" t="n">
        <v>20.536185865234</v>
      </c>
      <c r="R53" s="2" t="n">
        <v>0.3082</v>
      </c>
      <c r="S53" s="2" t="n">
        <v>0.062</v>
      </c>
      <c r="T53" s="2" t="n">
        <v>0.8553</v>
      </c>
      <c r="U53" s="2" t="n">
        <v>99.6066469788515</v>
      </c>
      <c r="V53" s="2" t="n">
        <v>2.67652233615497</v>
      </c>
      <c r="W53" s="2" t="n">
        <v>1.80950176793938</v>
      </c>
      <c r="X53" s="2" t="n">
        <v>0.0595052649206035</v>
      </c>
      <c r="Y53" s="2" t="n">
        <v>0.231732476549909</v>
      </c>
      <c r="Z53" s="2" t="n">
        <v>0.222786097418785</v>
      </c>
      <c r="AA53" s="2" t="n">
        <v>0.815121093962024</v>
      </c>
      <c r="AB53" s="2" t="n">
        <v>0.820947515639331</v>
      </c>
      <c r="AC53" s="2" t="n">
        <v>0.0222945362799841</v>
      </c>
      <c r="AD53" s="2" t="n">
        <v>0.00295103399912013</v>
      </c>
      <c r="AE53" s="2" t="n">
        <v>0.025228639428479</v>
      </c>
      <c r="AF53" s="2" t="n">
        <v>0.00506557603577215</v>
      </c>
      <c r="AG53" s="2" t="n">
        <v>0.43850715759744</v>
      </c>
      <c r="AH53" s="2" t="n">
        <v>0.119851270019874</v>
      </c>
      <c r="AI53" s="2" t="n">
        <v>0.441641572382686</v>
      </c>
      <c r="AJ53" s="2" t="n">
        <v>78.5350656331425</v>
      </c>
      <c r="AK53" s="2" t="n">
        <v>0.190489109285458</v>
      </c>
      <c r="AL53" s="2" t="n">
        <v>0.0412456926141158</v>
      </c>
      <c r="AM53" s="2" t="n">
        <v>0.0222947959689393</v>
      </c>
      <c r="AN53" s="2" t="n">
        <v>0.0189508966451765</v>
      </c>
      <c r="AO53" s="2" t="n">
        <v>0.0857691063201405</v>
      </c>
      <c r="AP53" s="2" t="n">
        <v>2.53742841278683</v>
      </c>
      <c r="AQ53" s="2" t="n">
        <v>2.11883277689587</v>
      </c>
      <c r="AR53" s="2" t="n">
        <v>3.27823053394924</v>
      </c>
      <c r="AS53" s="2" t="n">
        <v>1135.92553710938</v>
      </c>
      <c r="AT53" s="2" t="n">
        <v>1133.66180419922</v>
      </c>
      <c r="AU53" s="2" t="n">
        <v>1138.08603210449</v>
      </c>
      <c r="AV53" s="2" t="n">
        <v>8.72625670513166</v>
      </c>
      <c r="AW53" s="2" t="n">
        <v>7.31357375449379</v>
      </c>
      <c r="AX53" s="2" t="n">
        <v>11.2003028326705</v>
      </c>
      <c r="AY53" s="2" t="n">
        <v>3.06650984548004</v>
      </c>
      <c r="AZ53" s="2" t="n">
        <v>0.176584533923139</v>
      </c>
      <c r="BA53" s="2" t="n">
        <v>2.56662423404362</v>
      </c>
      <c r="BB53" s="2" t="n">
        <v>3.59379782610361</v>
      </c>
      <c r="BC53" s="2" t="n">
        <v>1453.86172239867</v>
      </c>
      <c r="BD53" s="2" t="n">
        <v>3.43828898731213</v>
      </c>
      <c r="BE53" s="2" t="n">
        <v>17</v>
      </c>
      <c r="BF53" s="2" t="n">
        <v>17</v>
      </c>
      <c r="BG53" s="2" t="n">
        <v>10.4966164419608</v>
      </c>
      <c r="BH53" s="2" t="n">
        <v>0.619908745262452</v>
      </c>
      <c r="BI53" s="2" t="n">
        <v>8.82439107772293</v>
      </c>
      <c r="BJ53" s="2" t="n">
        <v>12.244097677506</v>
      </c>
      <c r="BK53" s="2" t="n">
        <v>1.65133936070439</v>
      </c>
      <c r="BL53" s="2" t="n">
        <v>1.27622455065731</v>
      </c>
      <c r="BM53" s="2" t="n">
        <v>2.07110531789371</v>
      </c>
      <c r="BN53" s="2" t="n">
        <v>17000</v>
      </c>
      <c r="BO53" s="2" t="n">
        <v>1155.72406005859</v>
      </c>
      <c r="BP53" s="2" t="n">
        <v>1146.94644775391</v>
      </c>
      <c r="BQ53" s="2" t="n">
        <v>1159.67723693848</v>
      </c>
      <c r="BR53" s="2" t="n">
        <v>17000</v>
      </c>
      <c r="BS53" s="2" t="n">
        <v>5.72331833126896</v>
      </c>
      <c r="BT53" s="2" t="n">
        <v>4.43772679981391</v>
      </c>
      <c r="BU53" s="2" t="n">
        <v>7.15182802687693</v>
      </c>
      <c r="BV53" s="2" t="n">
        <v>48.26</v>
      </c>
      <c r="BW53" s="2" t="n">
        <v>3.66</v>
      </c>
      <c r="BX53" s="2" t="n">
        <v>13.59</v>
      </c>
      <c r="BY53" s="2" t="n">
        <v>12.44</v>
      </c>
      <c r="BZ53" s="2" t="n">
        <v>0.2</v>
      </c>
      <c r="CA53" s="2" t="n">
        <v>6.41</v>
      </c>
      <c r="CB53" s="2" t="n">
        <v>11.52</v>
      </c>
      <c r="CC53" s="2" t="n">
        <v>3.18</v>
      </c>
      <c r="CD53" s="2" t="n">
        <v>0.46</v>
      </c>
      <c r="CE53" s="2" t="n">
        <v>0.3</v>
      </c>
      <c r="CF53" s="2" t="n">
        <v>0.15</v>
      </c>
    </row>
    <row r="54" customFormat="false" ht="15" hidden="false" customHeight="false" outlineLevel="0" collapsed="false">
      <c r="A54" s="2" t="s">
        <v>200</v>
      </c>
      <c r="B54" s="2" t="n">
        <v>2009</v>
      </c>
      <c r="C54" s="2" t="s">
        <v>187</v>
      </c>
      <c r="D54" s="2" t="s">
        <v>188</v>
      </c>
      <c r="E54" s="2" t="n">
        <v>192</v>
      </c>
      <c r="F54" s="2" t="s">
        <v>201</v>
      </c>
      <c r="G54" s="2" t="s">
        <v>88</v>
      </c>
      <c r="H54" s="2" t="s">
        <v>108</v>
      </c>
      <c r="I54" s="2" t="n">
        <v>2</v>
      </c>
      <c r="J54" s="2" t="s">
        <v>88</v>
      </c>
      <c r="K54" s="2" t="n">
        <v>48.7420210155983</v>
      </c>
      <c r="L54" s="2" t="n">
        <v>2.2</v>
      </c>
      <c r="M54" s="2" t="n">
        <v>4.98</v>
      </c>
      <c r="N54" s="2" t="n">
        <v>7.71</v>
      </c>
      <c r="O54" s="2" t="n">
        <v>0.1545</v>
      </c>
      <c r="P54" s="2" t="n">
        <v>14.3766324766536</v>
      </c>
      <c r="Q54" s="2" t="n">
        <v>20.6034860998111</v>
      </c>
      <c r="R54" s="2" t="n">
        <v>0.3223</v>
      </c>
      <c r="S54" s="2" t="n">
        <v>0</v>
      </c>
      <c r="T54" s="2" t="n">
        <v>0.3923</v>
      </c>
      <c r="U54" s="2" t="n">
        <v>99.481239592063</v>
      </c>
      <c r="V54" s="2" t="n">
        <v>2.61554509742355</v>
      </c>
      <c r="W54" s="2" t="n">
        <v>1.8609458362971</v>
      </c>
      <c r="X54" s="2" t="n">
        <v>0.0631903662276857</v>
      </c>
      <c r="Y54" s="2" t="n">
        <v>0.224085775865408</v>
      </c>
      <c r="Z54" s="2" t="n">
        <v>0.246180081810636</v>
      </c>
      <c r="AA54" s="2" t="n">
        <v>0.818272692838466</v>
      </c>
      <c r="AB54" s="2" t="n">
        <v>0.84283968296226</v>
      </c>
      <c r="AC54" s="2" t="n">
        <v>0.0238580406470362</v>
      </c>
      <c r="AD54" s="2" t="n">
        <v>0</v>
      </c>
      <c r="AE54" s="2" t="n">
        <v>0.0118413801944872</v>
      </c>
      <c r="AF54" s="2" t="n">
        <v>0.00499611538107559</v>
      </c>
      <c r="AG54" s="2" t="n">
        <v>0.429023189166934</v>
      </c>
      <c r="AH54" s="2" t="n">
        <v>0.129073064190137</v>
      </c>
      <c r="AI54" s="2" t="n">
        <v>0.441903746642929</v>
      </c>
      <c r="AJ54" s="2" t="n">
        <v>76.8726158948865</v>
      </c>
      <c r="AK54" s="2"/>
      <c r="AL54" s="2"/>
      <c r="AM54" s="2"/>
      <c r="AN54" s="2"/>
      <c r="AO54" s="2"/>
      <c r="AP54" s="2" t="n">
        <v>1.92268231711248</v>
      </c>
      <c r="AQ54" s="2" t="n">
        <v>1.39387869438986</v>
      </c>
      <c r="AR54" s="2" t="n">
        <v>2.71914723715643</v>
      </c>
      <c r="AS54" s="2" t="n">
        <v>1120.693359375</v>
      </c>
      <c r="AT54" s="2" t="n">
        <v>1117.36949462891</v>
      </c>
      <c r="AU54" s="2" t="n">
        <v>1124.87212524414</v>
      </c>
      <c r="AV54" s="2" t="n">
        <v>6.64794852777191</v>
      </c>
      <c r="AW54" s="2" t="n">
        <v>4.84186829782068</v>
      </c>
      <c r="AX54" s="2" t="n">
        <v>9.33621879168902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customFormat="false" ht="15" hidden="false" customHeight="false" outlineLevel="0" collapsed="false">
      <c r="A55" s="2" t="s">
        <v>202</v>
      </c>
      <c r="B55" s="2" t="n">
        <v>2009</v>
      </c>
      <c r="C55" s="2" t="s">
        <v>187</v>
      </c>
      <c r="D55" s="2" t="s">
        <v>188</v>
      </c>
      <c r="E55" s="2" t="n">
        <v>193</v>
      </c>
      <c r="F55" s="2" t="s">
        <v>203</v>
      </c>
      <c r="G55" s="2" t="s">
        <v>93</v>
      </c>
      <c r="H55" s="2" t="s">
        <v>108</v>
      </c>
      <c r="I55" s="2" t="n">
        <v>2</v>
      </c>
      <c r="J55" s="2" t="s">
        <v>88</v>
      </c>
      <c r="K55" s="2" t="n">
        <v>50.2677351891794</v>
      </c>
      <c r="L55" s="2" t="n">
        <v>1.4366</v>
      </c>
      <c r="M55" s="2" t="n">
        <v>3.93</v>
      </c>
      <c r="N55" s="2" t="n">
        <v>6.85</v>
      </c>
      <c r="O55" s="2" t="n">
        <v>0.1522</v>
      </c>
      <c r="P55" s="2" t="n">
        <v>15.2889772230011</v>
      </c>
      <c r="Q55" s="2" t="n">
        <v>20.9015299957953</v>
      </c>
      <c r="R55" s="2" t="n">
        <v>0.3236</v>
      </c>
      <c r="S55" s="2" t="n">
        <v>0</v>
      </c>
      <c r="T55" s="2" t="n">
        <v>0.5752</v>
      </c>
      <c r="U55" s="2" t="n">
        <v>99.7258424079757</v>
      </c>
      <c r="V55" s="2" t="n">
        <v>2.69099227678793</v>
      </c>
      <c r="W55" s="2" t="n">
        <v>1.86538843607724</v>
      </c>
      <c r="X55" s="2" t="n">
        <v>0.0401064123717562</v>
      </c>
      <c r="Y55" s="2" t="n">
        <v>0.171880757441065</v>
      </c>
      <c r="Z55" s="2" t="n">
        <v>0.212588058831528</v>
      </c>
      <c r="AA55" s="2" t="n">
        <v>0.845802729950848</v>
      </c>
      <c r="AB55" s="2" t="n">
        <v>0.831059474449151</v>
      </c>
      <c r="AC55" s="2" t="n">
        <v>0.0232826678637294</v>
      </c>
      <c r="AD55" s="2" t="n">
        <v>0</v>
      </c>
      <c r="AE55" s="2" t="n">
        <v>0.0168753448256164</v>
      </c>
      <c r="AF55" s="2" t="n">
        <v>0.0047837490544739</v>
      </c>
      <c r="AG55" s="2" t="n">
        <v>0.44764487661309</v>
      </c>
      <c r="AH55" s="2" t="n">
        <v>0.112513180668719</v>
      </c>
      <c r="AI55" s="2" t="n">
        <v>0.439841942718191</v>
      </c>
      <c r="AJ55" s="2" t="n">
        <v>79.9140297624756</v>
      </c>
      <c r="AK55" s="2" t="n">
        <v>0.134604092643476</v>
      </c>
      <c r="AL55" s="2" t="n">
        <v>0.0372782114224912</v>
      </c>
      <c r="AM55" s="2" t="n">
        <v>0.0232829149326559</v>
      </c>
      <c r="AN55" s="2" t="n">
        <v>0.0139952964898353</v>
      </c>
      <c r="AO55" s="2" t="n">
        <v>0.0603043980768206</v>
      </c>
      <c r="AP55" s="2" t="n">
        <v>1.39054840929875</v>
      </c>
      <c r="AQ55" s="2" t="n">
        <v>1.03034986980328</v>
      </c>
      <c r="AR55" s="2" t="n">
        <v>1.79035191066632</v>
      </c>
      <c r="AS55" s="2" t="n">
        <v>1098.4228515625</v>
      </c>
      <c r="AT55" s="2" t="n">
        <v>1090.87620239258</v>
      </c>
      <c r="AU55" s="2" t="n">
        <v>1103.09478149414</v>
      </c>
      <c r="AV55" s="2" t="n">
        <v>4.8304403184318</v>
      </c>
      <c r="AW55" s="2" t="n">
        <v>3.59043999535899</v>
      </c>
      <c r="AX55" s="2" t="n">
        <v>6.19757587580171</v>
      </c>
      <c r="AY55" s="2" t="n">
        <v>3.16574885687573</v>
      </c>
      <c r="AZ55" s="2" t="n">
        <v>0.161300093506988</v>
      </c>
      <c r="BA55" s="2" t="n">
        <v>2.61036922583853</v>
      </c>
      <c r="BB55" s="2" t="n">
        <v>3.69737544968392</v>
      </c>
      <c r="BC55" s="2" t="n">
        <v>1454.44036157453</v>
      </c>
      <c r="BD55" s="2" t="n">
        <v>3.28016385786345</v>
      </c>
      <c r="BE55" s="2" t="n">
        <v>76</v>
      </c>
      <c r="BF55" s="2" t="n">
        <v>76</v>
      </c>
      <c r="BG55" s="2" t="n">
        <v>10.8267908413977</v>
      </c>
      <c r="BH55" s="2" t="n">
        <v>0.566326661840209</v>
      </c>
      <c r="BI55" s="2" t="n">
        <v>8.97133212802098</v>
      </c>
      <c r="BJ55" s="2" t="n">
        <v>12.5853836115012</v>
      </c>
      <c r="BK55" s="2" t="n">
        <v>1.29293828210413</v>
      </c>
      <c r="BL55" s="2" t="n">
        <v>0.686375741192323</v>
      </c>
      <c r="BM55" s="2" t="n">
        <v>1.89851427457331</v>
      </c>
      <c r="BN55" s="2" t="n">
        <v>76000</v>
      </c>
      <c r="BO55" s="2" t="n">
        <v>1162.06512451172</v>
      </c>
      <c r="BP55" s="2" t="n">
        <v>1153.58430480957</v>
      </c>
      <c r="BQ55" s="2" t="n">
        <v>1166.22267456055</v>
      </c>
      <c r="BR55" s="2" t="n">
        <v>76000</v>
      </c>
      <c r="BS55" s="2" t="n">
        <v>4.49518951718959</v>
      </c>
      <c r="BT55" s="2" t="n">
        <v>2.39895378521774</v>
      </c>
      <c r="BU55" s="2" t="n">
        <v>6.5657743375143</v>
      </c>
      <c r="BV55" s="2" t="n">
        <v>48.77</v>
      </c>
      <c r="BW55" s="2" t="n">
        <v>3.43</v>
      </c>
      <c r="BX55" s="2" t="n">
        <v>13.84</v>
      </c>
      <c r="BY55" s="2" t="n">
        <v>11.98</v>
      </c>
      <c r="BZ55" s="2" t="n">
        <v>0.17</v>
      </c>
      <c r="CA55" s="2" t="n">
        <v>6.53</v>
      </c>
      <c r="CB55" s="2" t="n">
        <v>11.6</v>
      </c>
      <c r="CC55" s="2" t="n">
        <v>2.96</v>
      </c>
      <c r="CD55" s="2" t="n">
        <v>0.45</v>
      </c>
      <c r="CE55" s="2" t="n">
        <v>0.27</v>
      </c>
      <c r="CF55" s="2" t="n">
        <v>0.15</v>
      </c>
    </row>
    <row r="56" customFormat="false" ht="15" hidden="false" customHeight="false" outlineLevel="0" collapsed="false">
      <c r="A56" s="2" t="s">
        <v>204</v>
      </c>
      <c r="B56" s="2" t="n">
        <v>2009</v>
      </c>
      <c r="C56" s="2" t="s">
        <v>187</v>
      </c>
      <c r="D56" s="2" t="s">
        <v>188</v>
      </c>
      <c r="E56" s="2" t="n">
        <v>194</v>
      </c>
      <c r="F56" s="2" t="s">
        <v>205</v>
      </c>
      <c r="G56" s="2" t="s">
        <v>97</v>
      </c>
      <c r="H56" s="2" t="s">
        <v>108</v>
      </c>
      <c r="I56" s="2" t="n">
        <v>2</v>
      </c>
      <c r="J56" s="2" t="s">
        <v>88</v>
      </c>
      <c r="K56" s="2" t="n">
        <v>48.3984827248581</v>
      </c>
      <c r="L56" s="2" t="n">
        <v>2.33</v>
      </c>
      <c r="M56" s="2" t="n">
        <v>5</v>
      </c>
      <c r="N56" s="2" t="n">
        <v>7.98</v>
      </c>
      <c r="O56" s="2" t="n">
        <v>0.159</v>
      </c>
      <c r="P56" s="2" t="n">
        <v>14.3478215899269</v>
      </c>
      <c r="Q56" s="2" t="n">
        <v>20.7092436112893</v>
      </c>
      <c r="R56" s="2" t="n">
        <v>0.3048</v>
      </c>
      <c r="S56" s="2" t="n">
        <v>0</v>
      </c>
      <c r="T56" s="2" t="n">
        <v>0.2423</v>
      </c>
      <c r="U56" s="2" t="n">
        <v>99.4716479260743</v>
      </c>
      <c r="V56" s="2" t="n">
        <v>2.60644802415137</v>
      </c>
      <c r="W56" s="2" t="n">
        <v>1.85427904679533</v>
      </c>
      <c r="X56" s="2" t="n">
        <v>0.0671579229959427</v>
      </c>
      <c r="Y56" s="2" t="n">
        <v>0.225770968071877</v>
      </c>
      <c r="Z56" s="2" t="n">
        <v>0.255690485957215</v>
      </c>
      <c r="AA56" s="2" t="n">
        <v>0.819483094995446</v>
      </c>
      <c r="AB56" s="2" t="n">
        <v>0.850122765980489</v>
      </c>
      <c r="AC56" s="2" t="n">
        <v>0.0226413633789373</v>
      </c>
      <c r="AD56" s="2" t="n">
        <v>0</v>
      </c>
      <c r="AE56" s="2" t="n">
        <v>0.00733923130008122</v>
      </c>
      <c r="AF56" s="2" t="n">
        <v>0.0051595787287905</v>
      </c>
      <c r="AG56" s="2" t="n">
        <v>0.425639978126391</v>
      </c>
      <c r="AH56" s="2" t="n">
        <v>0.132805781491515</v>
      </c>
      <c r="AI56" s="2" t="n">
        <v>0.441554240382095</v>
      </c>
      <c r="AJ56" s="2" t="n">
        <v>76.2186785011347</v>
      </c>
      <c r="AK56" s="2"/>
      <c r="AL56" s="2"/>
      <c r="AM56" s="2"/>
      <c r="AN56" s="2"/>
      <c r="AO56" s="2"/>
      <c r="AP56" s="2" t="n">
        <v>3.25082613333864</v>
      </c>
      <c r="AQ56" s="2" t="n">
        <v>2.58818459018869</v>
      </c>
      <c r="AR56" s="2" t="n">
        <v>4.74545027121706</v>
      </c>
      <c r="AS56" s="2" t="n">
        <v>1099.06176757813</v>
      </c>
      <c r="AT56" s="2" t="n">
        <v>1094.94743652344</v>
      </c>
      <c r="AU56" s="2" t="n">
        <v>1103.30635986328</v>
      </c>
      <c r="AV56" s="2" t="n">
        <v>11.1093731245646</v>
      </c>
      <c r="AW56" s="2" t="n">
        <v>8.89682760661585</v>
      </c>
      <c r="AX56" s="2" t="n">
        <v>16.0021938707913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customFormat="false" ht="15" hidden="false" customHeight="false" outlineLevel="0" collapsed="false">
      <c r="A57" s="2" t="s">
        <v>206</v>
      </c>
      <c r="B57" s="2" t="n">
        <v>2009</v>
      </c>
      <c r="C57" s="2" t="s">
        <v>187</v>
      </c>
      <c r="D57" s="2" t="s">
        <v>188</v>
      </c>
      <c r="E57" s="2" t="n">
        <v>195</v>
      </c>
      <c r="F57" s="2" t="s">
        <v>207</v>
      </c>
      <c r="G57" s="2" t="s">
        <v>88</v>
      </c>
      <c r="H57" s="2" t="s">
        <v>108</v>
      </c>
      <c r="I57" s="2" t="n">
        <v>2</v>
      </c>
      <c r="J57" s="2" t="s">
        <v>88</v>
      </c>
      <c r="K57" s="2" t="n">
        <v>51.1467890507791</v>
      </c>
      <c r="L57" s="2" t="n">
        <v>1.2794</v>
      </c>
      <c r="M57" s="2" t="n">
        <v>2.89</v>
      </c>
      <c r="N57" s="2" t="n">
        <v>7.54</v>
      </c>
      <c r="O57" s="2" t="n">
        <v>0.213</v>
      </c>
      <c r="P57" s="2" t="n">
        <v>15.5674824613598</v>
      </c>
      <c r="Q57" s="2" t="n">
        <v>20.1996846923486</v>
      </c>
      <c r="R57" s="2" t="n">
        <v>0.2621</v>
      </c>
      <c r="S57" s="2" t="n">
        <v>0</v>
      </c>
      <c r="T57" s="2" t="n">
        <v>0.3778</v>
      </c>
      <c r="U57" s="2" t="n">
        <v>99.4762562044874</v>
      </c>
      <c r="V57" s="2" t="n">
        <v>2.68568371563999</v>
      </c>
      <c r="W57" s="2" t="n">
        <v>1.90176093172211</v>
      </c>
      <c r="X57" s="2" t="n">
        <v>0.0357883671947134</v>
      </c>
      <c r="Y57" s="2" t="n">
        <v>0.12664560899117</v>
      </c>
      <c r="Z57" s="2" t="n">
        <v>0.23446457028278</v>
      </c>
      <c r="AA57" s="2" t="n">
        <v>0.86291222046705</v>
      </c>
      <c r="AB57" s="2" t="n">
        <v>0.804741138541995</v>
      </c>
      <c r="AC57" s="2" t="n">
        <v>0.0188950844057025</v>
      </c>
      <c r="AD57" s="2" t="n">
        <v>0</v>
      </c>
      <c r="AE57" s="2" t="n">
        <v>0.0111058887182738</v>
      </c>
      <c r="AF57" s="2" t="n">
        <v>0.00670796713026723</v>
      </c>
      <c r="AG57" s="2" t="n">
        <v>0.453658633451985</v>
      </c>
      <c r="AH57" s="2" t="n">
        <v>0.123265001960248</v>
      </c>
      <c r="AI57" s="2" t="n">
        <v>0.423076364587766</v>
      </c>
      <c r="AJ57" s="2" t="n">
        <v>78.6340870101169</v>
      </c>
      <c r="AK57" s="2" t="n">
        <v>0.098231616586745</v>
      </c>
      <c r="AL57" s="2" t="n">
        <v>0.0284151209865754</v>
      </c>
      <c r="AM57" s="2" t="n">
        <v>0.0188952832728237</v>
      </c>
      <c r="AN57" s="2" t="n">
        <v>0.00951983771375168</v>
      </c>
      <c r="AO57" s="2" t="n">
        <v>0.0443558894364966</v>
      </c>
      <c r="AP57" s="2" t="n">
        <v>0.39948033813092</v>
      </c>
      <c r="AQ57" s="2" t="n">
        <v>0.165672756467788</v>
      </c>
      <c r="AR57" s="2" t="n">
        <v>0.670658836995093</v>
      </c>
      <c r="AS57" s="2" t="n">
        <v>1095.72094726563</v>
      </c>
      <c r="AT57" s="2" t="n">
        <v>1079.37676086426</v>
      </c>
      <c r="AU57" s="2" t="n">
        <v>1109.03254394531</v>
      </c>
      <c r="AV57" s="2" t="n">
        <v>1.39969750925574</v>
      </c>
      <c r="AW57" s="2" t="n">
        <v>0.581657186359356</v>
      </c>
      <c r="AX57" s="2" t="n">
        <v>2.34434097173917</v>
      </c>
      <c r="AY57" s="2" t="n">
        <v>1.77481888189317</v>
      </c>
      <c r="AZ57" s="2" t="n">
        <v>0.18383813622699</v>
      </c>
      <c r="BA57" s="2" t="n">
        <v>1.26067034355199</v>
      </c>
      <c r="BB57" s="2" t="n">
        <v>2.30964292124643</v>
      </c>
      <c r="BC57" s="2" t="n">
        <v>1441.70193627478</v>
      </c>
      <c r="BD57" s="2" t="n">
        <v>3.52201660377844</v>
      </c>
      <c r="BE57" s="2" t="n">
        <v>15</v>
      </c>
      <c r="BF57" s="2" t="n">
        <v>15</v>
      </c>
      <c r="BG57" s="2" t="n">
        <v>6.14464125032339</v>
      </c>
      <c r="BH57" s="2" t="n">
        <v>0.645332470412432</v>
      </c>
      <c r="BI57" s="2" t="n">
        <v>4.38423538252656</v>
      </c>
      <c r="BJ57" s="2" t="n">
        <v>7.9588396989733</v>
      </c>
      <c r="BK57" s="2" t="n">
        <v>0.0209905104973161</v>
      </c>
      <c r="BL57" s="2" t="n">
        <v>0</v>
      </c>
      <c r="BM57" s="2" t="n">
        <v>0.558215161140748</v>
      </c>
      <c r="BN57" s="2" t="n">
        <v>15000</v>
      </c>
      <c r="BO57" s="2" t="n">
        <v>1159.05249023438</v>
      </c>
      <c r="BP57" s="2" t="n">
        <v>1152.16599121094</v>
      </c>
      <c r="BQ57" s="2" t="n">
        <v>1162.30603942871</v>
      </c>
      <c r="BR57" s="2" t="n">
        <v>15000</v>
      </c>
      <c r="BS57" s="2" t="n">
        <v>0.0737871856311262</v>
      </c>
      <c r="BT57" s="2" t="n">
        <v>0</v>
      </c>
      <c r="BU57" s="2" t="n">
        <v>1.9531870788211</v>
      </c>
      <c r="BV57" s="2" t="n">
        <v>48.26</v>
      </c>
      <c r="BW57" s="2" t="n">
        <v>3.66</v>
      </c>
      <c r="BX57" s="2" t="n">
        <v>13.59</v>
      </c>
      <c r="BY57" s="2" t="n">
        <v>12.44</v>
      </c>
      <c r="BZ57" s="2" t="n">
        <v>0.2</v>
      </c>
      <c r="CA57" s="2" t="n">
        <v>6.41</v>
      </c>
      <c r="CB57" s="2" t="n">
        <v>11.52</v>
      </c>
      <c r="CC57" s="2" t="n">
        <v>3.18</v>
      </c>
      <c r="CD57" s="2" t="n">
        <v>0.46</v>
      </c>
      <c r="CE57" s="2" t="n">
        <v>0.3</v>
      </c>
      <c r="CF57" s="2" t="n">
        <v>0.15</v>
      </c>
    </row>
    <row r="58" customFormat="false" ht="15" hidden="false" customHeight="false" outlineLevel="0" collapsed="false">
      <c r="A58" s="2" t="s">
        <v>208</v>
      </c>
      <c r="B58" s="2" t="n">
        <v>2009</v>
      </c>
      <c r="C58" s="2" t="s">
        <v>187</v>
      </c>
      <c r="D58" s="2" t="s">
        <v>188</v>
      </c>
      <c r="E58" s="2" t="n">
        <v>196</v>
      </c>
      <c r="F58" s="2" t="s">
        <v>209</v>
      </c>
      <c r="G58" s="2" t="s">
        <v>93</v>
      </c>
      <c r="H58" s="2" t="s">
        <v>108</v>
      </c>
      <c r="I58" s="2" t="n">
        <v>2</v>
      </c>
      <c r="J58" s="2" t="s">
        <v>88</v>
      </c>
      <c r="K58" s="2" t="n">
        <v>52.3087567988707</v>
      </c>
      <c r="L58" s="2" t="n">
        <v>1.0231</v>
      </c>
      <c r="M58" s="2" t="n">
        <v>2.27</v>
      </c>
      <c r="N58" s="2" t="n">
        <v>6.74</v>
      </c>
      <c r="O58" s="2" t="n">
        <v>0.1778</v>
      </c>
      <c r="P58" s="2" t="n">
        <v>17.0848558289692</v>
      </c>
      <c r="Q58" s="2" t="n">
        <v>19.5074537081272</v>
      </c>
      <c r="R58" s="2" t="n">
        <v>0.2407</v>
      </c>
      <c r="S58" s="2" t="n">
        <v>0</v>
      </c>
      <c r="T58" s="2" t="n">
        <v>0.5104</v>
      </c>
      <c r="U58" s="2" t="n">
        <v>99.863066335967</v>
      </c>
      <c r="V58" s="2" t="n">
        <v>2.71564557841869</v>
      </c>
      <c r="W58" s="2" t="n">
        <v>1.92350678366496</v>
      </c>
      <c r="X58" s="2" t="n">
        <v>0.0283031908390876</v>
      </c>
      <c r="Y58" s="2" t="n">
        <v>0.0983784391587993</v>
      </c>
      <c r="Z58" s="2" t="n">
        <v>0.207275300585109</v>
      </c>
      <c r="AA58" s="2" t="n">
        <v>0.936572344201609</v>
      </c>
      <c r="AB58" s="2" t="n">
        <v>0.768588663649478</v>
      </c>
      <c r="AC58" s="2" t="n">
        <v>0.0171608850549382</v>
      </c>
      <c r="AD58" s="2" t="n">
        <v>0</v>
      </c>
      <c r="AE58" s="2" t="n">
        <v>0.0148382883498828</v>
      </c>
      <c r="AF58" s="2" t="n">
        <v>0.0055376417445562</v>
      </c>
      <c r="AG58" s="2" t="n">
        <v>0.489727338928974</v>
      </c>
      <c r="AH58" s="2" t="n">
        <v>0.1083828515861</v>
      </c>
      <c r="AI58" s="2" t="n">
        <v>0.401889809484926</v>
      </c>
      <c r="AJ58" s="2" t="n">
        <v>81.8791163727266</v>
      </c>
      <c r="AK58" s="2" t="n">
        <v>0.0764865558983006</v>
      </c>
      <c r="AL58" s="2" t="n">
        <v>0.0218927151171172</v>
      </c>
      <c r="AM58" s="2" t="n">
        <v>0.0171610578503978</v>
      </c>
      <c r="AN58" s="2" t="n">
        <v>0.00473165726671938</v>
      </c>
      <c r="AO58" s="2" t="n">
        <v>0.0358774493157906</v>
      </c>
      <c r="AP58" s="2" t="n">
        <v>0.17254786824747</v>
      </c>
      <c r="AQ58" s="2" t="n">
        <v>0</v>
      </c>
      <c r="AR58" s="2" t="n">
        <v>0.633161104078731</v>
      </c>
      <c r="AS58" s="2" t="n">
        <v>1108.08715820313</v>
      </c>
      <c r="AT58" s="2" t="n">
        <v>1080.45332336426</v>
      </c>
      <c r="AU58" s="2" t="n">
        <v>1133.52997436523</v>
      </c>
      <c r="AV58" s="2" t="n">
        <v>0.605758935136127</v>
      </c>
      <c r="AW58" s="2" t="n">
        <v>0</v>
      </c>
      <c r="AX58" s="2" t="n">
        <v>2.21398406842375</v>
      </c>
      <c r="AY58" s="2" t="n">
        <v>1.56365707093534</v>
      </c>
      <c r="AZ58" s="2" t="n">
        <v>0.133358870485515</v>
      </c>
      <c r="BA58" s="2" t="n">
        <v>0.957463458629866</v>
      </c>
      <c r="BB58" s="2" t="n">
        <v>2.15723412354772</v>
      </c>
      <c r="BC58" s="2" t="n">
        <v>1449.79697506893</v>
      </c>
      <c r="BD58" s="2" t="n">
        <v>2.27858568676968</v>
      </c>
      <c r="BE58" s="2" t="n">
        <v>69</v>
      </c>
      <c r="BF58" s="2" t="n">
        <v>69</v>
      </c>
      <c r="BG58" s="2" t="n">
        <v>5.42357768560634</v>
      </c>
      <c r="BH58" s="2" t="n">
        <v>0.468337579713406</v>
      </c>
      <c r="BI58" s="2" t="n">
        <v>3.33856866507602</v>
      </c>
      <c r="BJ58" s="2" t="n">
        <v>7.44361358534832</v>
      </c>
      <c r="BK58" s="2" t="n">
        <v>0</v>
      </c>
      <c r="BL58" s="2" t="n">
        <v>0</v>
      </c>
      <c r="BM58" s="2" t="n">
        <v>0.119113313822265</v>
      </c>
      <c r="BN58" s="2" t="n">
        <v>69000</v>
      </c>
      <c r="BO58" s="2" t="n">
        <v>1161.31878662109</v>
      </c>
      <c r="BP58" s="2" t="n">
        <v>1156.31052246094</v>
      </c>
      <c r="BQ58" s="2" t="n">
        <v>1163.83594665527</v>
      </c>
      <c r="BR58" s="2" t="n">
        <v>69000</v>
      </c>
      <c r="BS58" s="2" t="n">
        <v>0</v>
      </c>
      <c r="BT58" s="2" t="n">
        <v>0</v>
      </c>
      <c r="BU58" s="2" t="n">
        <v>0.418360604227352</v>
      </c>
      <c r="BV58" s="2" t="n">
        <v>48.77</v>
      </c>
      <c r="BW58" s="2" t="n">
        <v>3.43</v>
      </c>
      <c r="BX58" s="2" t="n">
        <v>13.84</v>
      </c>
      <c r="BY58" s="2" t="n">
        <v>11.98</v>
      </c>
      <c r="BZ58" s="2" t="n">
        <v>0.17</v>
      </c>
      <c r="CA58" s="2" t="n">
        <v>6.53</v>
      </c>
      <c r="CB58" s="2" t="n">
        <v>11.6</v>
      </c>
      <c r="CC58" s="2" t="n">
        <v>2.96</v>
      </c>
      <c r="CD58" s="2" t="n">
        <v>0.45</v>
      </c>
      <c r="CE58" s="2" t="n">
        <v>0.27</v>
      </c>
      <c r="CF58" s="2" t="n">
        <v>0.15</v>
      </c>
    </row>
    <row r="59" customFormat="false" ht="15" hidden="false" customHeight="false" outlineLevel="0" collapsed="false">
      <c r="A59" s="2" t="s">
        <v>210</v>
      </c>
      <c r="B59" s="2" t="n">
        <v>2009</v>
      </c>
      <c r="C59" s="2" t="s">
        <v>187</v>
      </c>
      <c r="D59" s="2" t="s">
        <v>188</v>
      </c>
      <c r="E59" s="2" t="n">
        <v>197</v>
      </c>
      <c r="F59" s="2" t="s">
        <v>211</v>
      </c>
      <c r="G59" s="2" t="s">
        <v>93</v>
      </c>
      <c r="H59" s="2" t="s">
        <v>108</v>
      </c>
      <c r="I59" s="2" t="n">
        <v>2</v>
      </c>
      <c r="J59" s="2" t="s">
        <v>88</v>
      </c>
      <c r="K59" s="2" t="n">
        <v>49.1057674410878</v>
      </c>
      <c r="L59" s="2" t="n">
        <v>2.1</v>
      </c>
      <c r="M59" s="2" t="n">
        <v>4.79</v>
      </c>
      <c r="N59" s="2" t="n">
        <v>7.42</v>
      </c>
      <c r="O59" s="2" t="n">
        <v>0.163</v>
      </c>
      <c r="P59" s="2" t="n">
        <v>14.3190107032001</v>
      </c>
      <c r="Q59" s="2" t="n">
        <v>20.5938717805858</v>
      </c>
      <c r="R59" s="2" t="n">
        <v>0.3499</v>
      </c>
      <c r="S59" s="2" t="n">
        <v>0</v>
      </c>
      <c r="T59" s="2" t="n">
        <v>0.5686</v>
      </c>
      <c r="U59" s="2" t="n">
        <v>99.4101499248737</v>
      </c>
      <c r="V59" s="2" t="n">
        <v>2.67305855431764</v>
      </c>
      <c r="W59" s="2" t="n">
        <v>1.83449462415291</v>
      </c>
      <c r="X59" s="2" t="n">
        <v>0.0590202747133555</v>
      </c>
      <c r="Y59" s="2" t="n">
        <v>0.210898844845038</v>
      </c>
      <c r="Z59" s="2" t="n">
        <v>0.231822817195313</v>
      </c>
      <c r="AA59" s="2" t="n">
        <v>0.797457674094087</v>
      </c>
      <c r="AB59" s="2" t="n">
        <v>0.824320329962818</v>
      </c>
      <c r="AC59" s="2" t="n">
        <v>0.0253438244370796</v>
      </c>
      <c r="AD59" s="2" t="n">
        <v>0</v>
      </c>
      <c r="AE59" s="2" t="n">
        <v>0.0167936312527246</v>
      </c>
      <c r="AF59" s="2" t="n">
        <v>0.00515757224926923</v>
      </c>
      <c r="AG59" s="2" t="n">
        <v>0.430220824759539</v>
      </c>
      <c r="AH59" s="2" t="n">
        <v>0.125066203325645</v>
      </c>
      <c r="AI59" s="2" t="n">
        <v>0.444712971914816</v>
      </c>
      <c r="AJ59" s="2" t="n">
        <v>77.4771970170246</v>
      </c>
      <c r="AK59" s="2" t="n">
        <v>0.165496092619456</v>
      </c>
      <c r="AL59" s="2" t="n">
        <v>0.0454048724777919</v>
      </c>
      <c r="AM59" s="2" t="n">
        <v>0.0253441201203596</v>
      </c>
      <c r="AN59" s="2" t="n">
        <v>0.0200607523574323</v>
      </c>
      <c r="AO59" s="2" t="n">
        <v>0.0727176701310118</v>
      </c>
      <c r="AP59" s="2" t="n">
        <v>1.89543511856528</v>
      </c>
      <c r="AQ59" s="2" t="n">
        <v>1.57073660481902</v>
      </c>
      <c r="AR59" s="2" t="n">
        <v>2.17995795000525</v>
      </c>
      <c r="AS59" s="2" t="n">
        <v>1112.513671875</v>
      </c>
      <c r="AT59" s="2" t="n">
        <v>1109.08783874512</v>
      </c>
      <c r="AU59" s="2" t="n">
        <v>1116.88822937012</v>
      </c>
      <c r="AV59" s="2" t="n">
        <v>6.55530230241634</v>
      </c>
      <c r="AW59" s="2" t="n">
        <v>5.44779626038712</v>
      </c>
      <c r="AX59" s="2" t="n">
        <v>7.52052199151059</v>
      </c>
      <c r="AY59" s="2" t="n">
        <v>3.45048991481794</v>
      </c>
      <c r="AZ59" s="2" t="n">
        <v>0.165903502989319</v>
      </c>
      <c r="BA59" s="2" t="n">
        <v>3.05058178876529</v>
      </c>
      <c r="BB59" s="2" t="n">
        <v>3.89977404158619</v>
      </c>
      <c r="BC59" s="2" t="n">
        <v>1450.90601822307</v>
      </c>
      <c r="BD59" s="2" t="n">
        <v>1.52579101872832</v>
      </c>
      <c r="BE59" s="2" t="n">
        <v>3</v>
      </c>
      <c r="BF59" s="2" t="n">
        <v>3</v>
      </c>
      <c r="BG59" s="2" t="n">
        <v>11.7708293077449</v>
      </c>
      <c r="BH59" s="2" t="n">
        <v>0.58246614979933</v>
      </c>
      <c r="BI59" s="2" t="n">
        <v>10.4435672188465</v>
      </c>
      <c r="BJ59" s="2" t="n">
        <v>13.2504059542774</v>
      </c>
      <c r="BK59" s="2" t="n">
        <v>1.17732906072067</v>
      </c>
      <c r="BL59" s="2" t="n">
        <v>0.807604315080508</v>
      </c>
      <c r="BM59" s="2" t="n">
        <v>1.70621418698642</v>
      </c>
      <c r="BN59" s="2" t="n">
        <v>3000</v>
      </c>
      <c r="BO59" s="2" t="n">
        <v>1152.19555664063</v>
      </c>
      <c r="BP59" s="2" t="n">
        <v>1145.90062561035</v>
      </c>
      <c r="BQ59" s="2" t="n">
        <v>1155.50834350586</v>
      </c>
      <c r="BR59" s="2" t="n">
        <v>3000</v>
      </c>
      <c r="BS59" s="2" t="n">
        <v>4.09737230195611</v>
      </c>
      <c r="BT59" s="2" t="n">
        <v>2.81969360208054</v>
      </c>
      <c r="BU59" s="2" t="n">
        <v>5.91067010441376</v>
      </c>
      <c r="BV59" s="2" t="n">
        <v>48.29</v>
      </c>
      <c r="BW59" s="2" t="n">
        <v>3.69</v>
      </c>
      <c r="BX59" s="2" t="n">
        <v>13.65</v>
      </c>
      <c r="BY59" s="2" t="n">
        <v>12.67</v>
      </c>
      <c r="BZ59" s="2" t="n">
        <v>0.18</v>
      </c>
      <c r="CA59" s="2" t="n">
        <v>6.25</v>
      </c>
      <c r="CB59" s="2" t="n">
        <v>11.35</v>
      </c>
      <c r="CC59" s="2" t="n">
        <v>3.11</v>
      </c>
      <c r="CD59" s="2" t="n">
        <v>0.49</v>
      </c>
      <c r="CE59" s="2" t="n">
        <v>0.33</v>
      </c>
      <c r="CF59" s="2" t="n">
        <v>0.15</v>
      </c>
    </row>
    <row r="60" customFormat="false" ht="15" hidden="false" customHeight="false" outlineLevel="0" collapsed="false">
      <c r="A60" s="2" t="s">
        <v>212</v>
      </c>
      <c r="B60" s="2" t="n">
        <v>2009</v>
      </c>
      <c r="C60" s="2" t="s">
        <v>187</v>
      </c>
      <c r="D60" s="2" t="s">
        <v>188</v>
      </c>
      <c r="E60" s="2" t="n">
        <v>198</v>
      </c>
      <c r="F60" s="2" t="s">
        <v>213</v>
      </c>
      <c r="G60" s="2" t="s">
        <v>88</v>
      </c>
      <c r="H60" s="2" t="s">
        <v>108</v>
      </c>
      <c r="I60" s="2" t="n">
        <v>2</v>
      </c>
      <c r="J60" s="2" t="s">
        <v>88</v>
      </c>
      <c r="K60" s="2" t="n">
        <v>49.4998260687015</v>
      </c>
      <c r="L60" s="2" t="n">
        <v>2.31</v>
      </c>
      <c r="M60" s="2" t="n">
        <v>3.26</v>
      </c>
      <c r="N60" s="2" t="n">
        <v>11.58</v>
      </c>
      <c r="O60" s="2" t="n">
        <v>0.2466</v>
      </c>
      <c r="P60" s="2" t="n">
        <v>12.9072772535888</v>
      </c>
      <c r="Q60" s="2" t="n">
        <v>19.8151119233367</v>
      </c>
      <c r="R60" s="2" t="n">
        <v>0.4323</v>
      </c>
      <c r="S60" s="2" t="n">
        <v>0</v>
      </c>
      <c r="T60" s="2" t="n">
        <v>0.0061</v>
      </c>
      <c r="U60" s="2" t="n">
        <v>100.057215245627</v>
      </c>
      <c r="V60" s="2" t="n">
        <v>2.58896406307893</v>
      </c>
      <c r="W60" s="2" t="n">
        <v>1.90928193639897</v>
      </c>
      <c r="X60" s="2" t="n">
        <v>0.0670311023994666</v>
      </c>
      <c r="Y60" s="2" t="n">
        <v>0.148196769868676</v>
      </c>
      <c r="Z60" s="2" t="n">
        <v>0.37354530605524</v>
      </c>
      <c r="AA60" s="2" t="n">
        <v>0.74218422130085</v>
      </c>
      <c r="AB60" s="2" t="n">
        <v>0.818911530710907</v>
      </c>
      <c r="AC60" s="2" t="n">
        <v>0.0323292697277653</v>
      </c>
      <c r="AD60" s="2" t="n">
        <v>0</v>
      </c>
      <c r="AE60" s="2" t="n">
        <v>0.000186015889239859</v>
      </c>
      <c r="AF60" s="2" t="n">
        <v>0.00805625563431504</v>
      </c>
      <c r="AG60" s="2" t="n">
        <v>0.38362890015495</v>
      </c>
      <c r="AH60" s="2" t="n">
        <v>0.193082486540666</v>
      </c>
      <c r="AI60" s="2" t="n">
        <v>0.423288613304385</v>
      </c>
      <c r="AJ60" s="2" t="n">
        <v>66.5200842232419</v>
      </c>
      <c r="AK60" s="2"/>
      <c r="AL60" s="2"/>
      <c r="AM60" s="2"/>
      <c r="AN60" s="2"/>
      <c r="AO60" s="2"/>
      <c r="AP60" s="2" t="n">
        <v>1.75445707012999</v>
      </c>
      <c r="AQ60" s="2" t="n">
        <v>1.36574132611144</v>
      </c>
      <c r="AR60" s="2" t="n">
        <v>2.09784103800643</v>
      </c>
      <c r="AS60" s="2" t="n">
        <v>1082.32495117188</v>
      </c>
      <c r="AT60" s="2" t="n">
        <v>1076.12806396484</v>
      </c>
      <c r="AU60" s="2" t="n">
        <v>1088.82566223145</v>
      </c>
      <c r="AV60" s="2" t="n">
        <v>6.07522858865888</v>
      </c>
      <c r="AW60" s="2" t="n">
        <v>4.74529287256878</v>
      </c>
      <c r="AX60" s="2" t="n">
        <v>7.24245091379825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customFormat="false" ht="15" hidden="false" customHeight="false" outlineLevel="0" collapsed="false">
      <c r="A61" s="2" t="s">
        <v>214</v>
      </c>
      <c r="B61" s="2" t="n">
        <v>2009</v>
      </c>
      <c r="C61" s="2" t="s">
        <v>187</v>
      </c>
      <c r="D61" s="2" t="s">
        <v>188</v>
      </c>
      <c r="E61" s="2" t="n">
        <v>199</v>
      </c>
      <c r="F61" s="2" t="s">
        <v>215</v>
      </c>
      <c r="G61" s="2" t="s">
        <v>93</v>
      </c>
      <c r="H61" s="2" t="s">
        <v>108</v>
      </c>
      <c r="I61" s="2" t="n">
        <v>2</v>
      </c>
      <c r="J61" s="2" t="s">
        <v>88</v>
      </c>
      <c r="K61" s="2" t="n">
        <v>51.0760605791561</v>
      </c>
      <c r="L61" s="2" t="n">
        <v>1.4861</v>
      </c>
      <c r="M61" s="2" t="n">
        <v>2.09</v>
      </c>
      <c r="N61" s="2" t="n">
        <v>10</v>
      </c>
      <c r="O61" s="2" t="n">
        <v>0.3004</v>
      </c>
      <c r="P61" s="2" t="n">
        <v>13.9348655468433</v>
      </c>
      <c r="Q61" s="2" t="n">
        <v>20.6131004190364</v>
      </c>
      <c r="R61" s="2" t="n">
        <v>0.4277</v>
      </c>
      <c r="S61" s="2" t="n">
        <v>0</v>
      </c>
      <c r="T61" s="2" t="n">
        <v>0.0017</v>
      </c>
      <c r="U61" s="2" t="n">
        <v>99.9299265450358</v>
      </c>
      <c r="V61" s="2" t="n">
        <v>2.62533823925181</v>
      </c>
      <c r="W61" s="2" t="n">
        <v>1.94278410685866</v>
      </c>
      <c r="X61" s="2" t="n">
        <v>0.0425258667459122</v>
      </c>
      <c r="Y61" s="2" t="n">
        <v>0.0936932236252824</v>
      </c>
      <c r="Z61" s="2" t="n">
        <v>0.318108652414409</v>
      </c>
      <c r="AA61" s="2" t="n">
        <v>0.790170148487046</v>
      </c>
      <c r="AB61" s="2" t="n">
        <v>0.840087520492372</v>
      </c>
      <c r="AC61" s="2" t="n">
        <v>0.0315421045673238</v>
      </c>
      <c r="AD61" s="2" t="n">
        <v>0</v>
      </c>
      <c r="AE61" s="2" t="n">
        <v>5.11222414138481E-005</v>
      </c>
      <c r="AF61" s="2" t="n">
        <v>0.00967789380513944</v>
      </c>
      <c r="AG61" s="2" t="n">
        <v>0.405555228403749</v>
      </c>
      <c r="AH61" s="2" t="n">
        <v>0.163269426761</v>
      </c>
      <c r="AI61" s="2" t="n">
        <v>0.431175344835251</v>
      </c>
      <c r="AJ61" s="2" t="n">
        <v>71.2970552034682</v>
      </c>
      <c r="AK61" s="2"/>
      <c r="AL61" s="2"/>
      <c r="AM61" s="2"/>
      <c r="AN61" s="2"/>
      <c r="AO61" s="2"/>
      <c r="AP61" s="2" t="n">
        <v>0</v>
      </c>
      <c r="AQ61" s="2" t="n">
        <v>0</v>
      </c>
      <c r="AR61" s="2" t="n">
        <v>0</v>
      </c>
      <c r="AS61" s="2" t="n">
        <v>1061.98913574219</v>
      </c>
      <c r="AT61" s="2" t="n">
        <v>1054.17104187012</v>
      </c>
      <c r="AU61" s="2" t="n">
        <v>1068.39432373047</v>
      </c>
      <c r="AV61" s="2" t="n">
        <v>0</v>
      </c>
      <c r="AW61" s="2" t="n">
        <v>0</v>
      </c>
      <c r="AX61" s="2" t="n">
        <v>0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customFormat="false" ht="15" hidden="false" customHeight="false" outlineLevel="0" collapsed="false">
      <c r="A62" s="2" t="s">
        <v>216</v>
      </c>
      <c r="B62" s="2" t="n">
        <v>2009</v>
      </c>
      <c r="C62" s="2" t="s">
        <v>187</v>
      </c>
      <c r="D62" s="2" t="s">
        <v>188</v>
      </c>
      <c r="E62" s="2" t="n">
        <v>200</v>
      </c>
      <c r="F62" s="2" t="s">
        <v>217</v>
      </c>
      <c r="G62" s="2" t="s">
        <v>97</v>
      </c>
      <c r="H62" s="2" t="s">
        <v>108</v>
      </c>
      <c r="I62" s="2" t="n">
        <v>2</v>
      </c>
      <c r="J62" s="2" t="s">
        <v>88</v>
      </c>
      <c r="K62" s="2" t="n">
        <v>50.9346036359102</v>
      </c>
      <c r="L62" s="2" t="n">
        <v>1.4518</v>
      </c>
      <c r="M62" s="2" t="n">
        <v>3.23</v>
      </c>
      <c r="N62" s="2" t="n">
        <v>7.72</v>
      </c>
      <c r="O62" s="2" t="n">
        <v>0.165</v>
      </c>
      <c r="P62" s="2" t="n">
        <v>15.8171768129917</v>
      </c>
      <c r="Q62" s="2" t="n">
        <v>20.1708417346727</v>
      </c>
      <c r="R62" s="2" t="n">
        <v>0.261</v>
      </c>
      <c r="S62" s="2" t="n">
        <v>0</v>
      </c>
      <c r="T62" s="2" t="n">
        <v>0.2168</v>
      </c>
      <c r="U62" s="2" t="n">
        <v>99.9672221835746</v>
      </c>
      <c r="V62" s="2" t="n">
        <v>2.69725614465413</v>
      </c>
      <c r="W62" s="2" t="n">
        <v>1.885745815572</v>
      </c>
      <c r="X62" s="2" t="n">
        <v>0.0404366347340035</v>
      </c>
      <c r="Y62" s="2" t="n">
        <v>0.140937800974507</v>
      </c>
      <c r="Z62" s="2" t="n">
        <v>0.239031895487713</v>
      </c>
      <c r="AA62" s="2" t="n">
        <v>0.872991225331093</v>
      </c>
      <c r="AB62" s="2" t="n">
        <v>0.800144288047156</v>
      </c>
      <c r="AC62" s="2" t="n">
        <v>0.0187350560797019</v>
      </c>
      <c r="AD62" s="2" t="n">
        <v>0</v>
      </c>
      <c r="AE62" s="2" t="n">
        <v>0.0063457552320011</v>
      </c>
      <c r="AF62" s="2" t="n">
        <v>0.00517401807267563</v>
      </c>
      <c r="AG62" s="2" t="n">
        <v>0.456545395180034</v>
      </c>
      <c r="AH62" s="2" t="n">
        <v>0.125005736620872</v>
      </c>
      <c r="AI62" s="2" t="n">
        <v>0.418448868199094</v>
      </c>
      <c r="AJ62" s="2" t="n">
        <v>78.5047728763311</v>
      </c>
      <c r="AK62" s="2" t="n">
        <v>0.114246279360377</v>
      </c>
      <c r="AL62" s="2" t="n">
        <v>0.0266928161337432</v>
      </c>
      <c r="AM62" s="2" t="n">
        <v>0.018735258390375</v>
      </c>
      <c r="AN62" s="2" t="n">
        <v>0.00795755774336816</v>
      </c>
      <c r="AO62" s="2" t="n">
        <v>0.0531443608085043</v>
      </c>
      <c r="AP62" s="2" t="n">
        <v>0.830020614976727</v>
      </c>
      <c r="AQ62" s="2" t="n">
        <v>0.293096571678959</v>
      </c>
      <c r="AR62" s="2" t="n">
        <v>1.05274266254409</v>
      </c>
      <c r="AS62" s="2" t="n">
        <v>1088.59057617188</v>
      </c>
      <c r="AT62" s="2" t="n">
        <v>1079.0208984375</v>
      </c>
      <c r="AU62" s="2" t="n">
        <v>1096.13657226563</v>
      </c>
      <c r="AV62" s="2" t="n">
        <v>2.8973947732917</v>
      </c>
      <c r="AW62" s="2" t="n">
        <v>1.02789529667606</v>
      </c>
      <c r="AX62" s="2" t="n">
        <v>3.66775743369851</v>
      </c>
      <c r="AY62" s="2" t="n">
        <v>1.77115061128718</v>
      </c>
      <c r="AZ62" s="2" t="n">
        <v>0.159141667171115</v>
      </c>
      <c r="BA62" s="2" t="n">
        <v>1.26949013267091</v>
      </c>
      <c r="BB62" s="2" t="n">
        <v>2.31357204075609</v>
      </c>
      <c r="BC62" s="2" t="n">
        <v>1443.96844139769</v>
      </c>
      <c r="BD62" s="2" t="n">
        <v>3.38015517514078</v>
      </c>
      <c r="BE62" s="2" t="n">
        <v>13</v>
      </c>
      <c r="BF62" s="2" t="n">
        <v>13</v>
      </c>
      <c r="BG62" s="2" t="n">
        <v>6.13213810724233</v>
      </c>
      <c r="BH62" s="2" t="n">
        <v>0.558758807678953</v>
      </c>
      <c r="BI62" s="2" t="n">
        <v>4.41456871999011</v>
      </c>
      <c r="BJ62" s="2" t="n">
        <v>7.97210368578494</v>
      </c>
      <c r="BK62" s="2" t="n">
        <v>0.44138361171291</v>
      </c>
      <c r="BL62" s="2" t="n">
        <v>0</v>
      </c>
      <c r="BM62" s="2" t="n">
        <v>1.08705883037917</v>
      </c>
      <c r="BN62" s="2" t="n">
        <v>13000</v>
      </c>
      <c r="BO62" s="2" t="n">
        <v>1158.81622314453</v>
      </c>
      <c r="BP62" s="2" t="n">
        <v>1151.21781921387</v>
      </c>
      <c r="BQ62" s="2" t="n">
        <v>1162.90903015137</v>
      </c>
      <c r="BR62" s="2" t="n">
        <v>13000</v>
      </c>
      <c r="BS62" s="2" t="n">
        <v>1.54595760979295</v>
      </c>
      <c r="BT62" s="2" t="n">
        <v>0</v>
      </c>
      <c r="BU62" s="2" t="n">
        <v>3.78618472563874</v>
      </c>
      <c r="BV62" s="2" t="n">
        <v>48.26</v>
      </c>
      <c r="BW62" s="2" t="n">
        <v>3.66</v>
      </c>
      <c r="BX62" s="2" t="n">
        <v>13.59</v>
      </c>
      <c r="BY62" s="2" t="n">
        <v>12.44</v>
      </c>
      <c r="BZ62" s="2" t="n">
        <v>0.2</v>
      </c>
      <c r="CA62" s="2" t="n">
        <v>6.41</v>
      </c>
      <c r="CB62" s="2" t="n">
        <v>11.52</v>
      </c>
      <c r="CC62" s="2" t="n">
        <v>3.18</v>
      </c>
      <c r="CD62" s="2" t="n">
        <v>0.46</v>
      </c>
      <c r="CE62" s="2" t="n">
        <v>0.3</v>
      </c>
      <c r="CF62" s="2" t="n">
        <v>0.15</v>
      </c>
    </row>
    <row r="63" customFormat="false" ht="15" hidden="false" customHeight="false" outlineLevel="0" collapsed="false">
      <c r="A63" s="2" t="s">
        <v>218</v>
      </c>
      <c r="B63" s="2" t="n">
        <v>2009</v>
      </c>
      <c r="C63" s="2" t="s">
        <v>187</v>
      </c>
      <c r="D63" s="2" t="s">
        <v>188</v>
      </c>
      <c r="E63" s="2" t="n">
        <v>201</v>
      </c>
      <c r="F63" s="2" t="s">
        <v>219</v>
      </c>
      <c r="G63" s="2" t="s">
        <v>88</v>
      </c>
      <c r="H63" s="2" t="s">
        <v>108</v>
      </c>
      <c r="I63" s="2" t="n">
        <v>2</v>
      </c>
      <c r="J63" s="2" t="s">
        <v>163</v>
      </c>
      <c r="K63" s="2" t="n">
        <v>51.4802232741445</v>
      </c>
      <c r="L63" s="2" t="n">
        <v>0.9381</v>
      </c>
      <c r="M63" s="2" t="n">
        <v>3.01</v>
      </c>
      <c r="N63" s="2" t="n">
        <v>7.21</v>
      </c>
      <c r="O63" s="2" t="n">
        <v>0.1857</v>
      </c>
      <c r="P63" s="2" t="n">
        <v>17.228910262603</v>
      </c>
      <c r="Q63" s="2" t="n">
        <v>18.5652504240481</v>
      </c>
      <c r="R63" s="2" t="n">
        <v>0.2195</v>
      </c>
      <c r="S63" s="2" t="n">
        <v>0.0006</v>
      </c>
      <c r="T63" s="2" t="n">
        <v>0.5471</v>
      </c>
      <c r="U63" s="2" t="n">
        <v>99.3853839607956</v>
      </c>
      <c r="V63" s="2" t="n">
        <v>2.7015250750765</v>
      </c>
      <c r="W63" s="2" t="n">
        <v>1.90293446453679</v>
      </c>
      <c r="X63" s="2" t="n">
        <v>0.0260873843724657</v>
      </c>
      <c r="Y63" s="2" t="n">
        <v>0.13113078240159</v>
      </c>
      <c r="Z63" s="2" t="n">
        <v>0.22288816459535</v>
      </c>
      <c r="AA63" s="2" t="n">
        <v>0.94940585624293</v>
      </c>
      <c r="AB63" s="2" t="n">
        <v>0.735289369941235</v>
      </c>
      <c r="AC63" s="2" t="n">
        <v>0.0157312126893181</v>
      </c>
      <c r="AD63" s="2" t="n">
        <v>2.82940842931125E-005</v>
      </c>
      <c r="AE63" s="2" t="n">
        <v>0.0159883608537382</v>
      </c>
      <c r="AF63" s="2" t="n">
        <v>0.00581392050255729</v>
      </c>
      <c r="AG63" s="2" t="n">
        <v>0.497700840147788</v>
      </c>
      <c r="AH63" s="2" t="n">
        <v>0.116843208885494</v>
      </c>
      <c r="AI63" s="2" t="n">
        <v>0.385455950966718</v>
      </c>
      <c r="AJ63" s="2" t="n">
        <v>80.9870083244161</v>
      </c>
      <c r="AK63" s="2" t="n">
        <v>0.0970591208864118</v>
      </c>
      <c r="AL63" s="2" t="n">
        <v>0.0340727582816975</v>
      </c>
      <c r="AM63" s="2" t="n">
        <v>0.0157313696455939</v>
      </c>
      <c r="AN63" s="2" t="n">
        <v>0.0183413886361036</v>
      </c>
      <c r="AO63" s="2" t="n">
        <v>0.0393588661251541</v>
      </c>
      <c r="AP63" s="2" t="n">
        <v>0.268473604316476</v>
      </c>
      <c r="AQ63" s="2" t="n">
        <v>0</v>
      </c>
      <c r="AR63" s="2" t="n">
        <v>0.777718132729294</v>
      </c>
      <c r="AS63" s="2" t="n">
        <v>1149.14282226563</v>
      </c>
      <c r="AT63" s="2" t="n">
        <v>1140.79427185059</v>
      </c>
      <c r="AU63" s="2" t="n">
        <v>1153.92464294434</v>
      </c>
      <c r="AV63" s="2" t="n">
        <v>0.941742379706991</v>
      </c>
      <c r="AW63" s="2" t="n">
        <v>0</v>
      </c>
      <c r="AX63" s="2" t="n">
        <v>2.71605236439545</v>
      </c>
      <c r="AY63" s="2" t="n">
        <v>1.41761488124875</v>
      </c>
      <c r="AZ63" s="2" t="n">
        <v>0.13563403052038</v>
      </c>
      <c r="BA63" s="2" t="n">
        <v>0.748802696784122</v>
      </c>
      <c r="BB63" s="2" t="n">
        <v>2.05295611582641</v>
      </c>
      <c r="BC63" s="2" t="n">
        <v>1454.86996613106</v>
      </c>
      <c r="BD63" s="2" t="n">
        <v>2.50222663379395</v>
      </c>
      <c r="BE63" s="2" t="n">
        <v>73</v>
      </c>
      <c r="BF63" s="2" t="n">
        <v>73</v>
      </c>
      <c r="BG63" s="2" t="n">
        <v>4.92330031285088</v>
      </c>
      <c r="BH63" s="2" t="n">
        <v>0.476318271222479</v>
      </c>
      <c r="BI63" s="2" t="n">
        <v>2.61572602561835</v>
      </c>
      <c r="BJ63" s="2" t="n">
        <v>7.09028515458475</v>
      </c>
      <c r="BK63" s="2" t="n">
        <v>0.233193617348523</v>
      </c>
      <c r="BL63" s="2" t="n">
        <v>0</v>
      </c>
      <c r="BM63" s="2" t="n">
        <v>0.725403310388946</v>
      </c>
      <c r="BN63" s="2" t="n">
        <v>73000</v>
      </c>
      <c r="BO63" s="2" t="n">
        <v>1163.83074951172</v>
      </c>
      <c r="BP63" s="2" t="n">
        <v>1158.36132202148</v>
      </c>
      <c r="BQ63" s="2" t="n">
        <v>1166.75159606934</v>
      </c>
      <c r="BR63" s="2" t="n">
        <v>73000</v>
      </c>
      <c r="BS63" s="2" t="n">
        <v>0.818237747561557</v>
      </c>
      <c r="BT63" s="2" t="n">
        <v>0</v>
      </c>
      <c r="BU63" s="2" t="n">
        <v>2.53450133712598</v>
      </c>
      <c r="BV63" s="2" t="n">
        <v>48.77</v>
      </c>
      <c r="BW63" s="2" t="n">
        <v>3.43</v>
      </c>
      <c r="BX63" s="2" t="n">
        <v>13.84</v>
      </c>
      <c r="BY63" s="2" t="n">
        <v>11.98</v>
      </c>
      <c r="BZ63" s="2" t="n">
        <v>0.17</v>
      </c>
      <c r="CA63" s="2" t="n">
        <v>6.53</v>
      </c>
      <c r="CB63" s="2" t="n">
        <v>11.6</v>
      </c>
      <c r="CC63" s="2" t="n">
        <v>2.96</v>
      </c>
      <c r="CD63" s="2" t="n">
        <v>0.45</v>
      </c>
      <c r="CE63" s="2" t="n">
        <v>0.27</v>
      </c>
      <c r="CF63" s="2" t="n">
        <v>0.15</v>
      </c>
    </row>
    <row r="64" customFormat="false" ht="15" hidden="false" customHeight="false" outlineLevel="0" collapsed="false">
      <c r="A64" s="2" t="s">
        <v>220</v>
      </c>
      <c r="B64" s="2" t="n">
        <v>2009</v>
      </c>
      <c r="C64" s="2" t="s">
        <v>187</v>
      </c>
      <c r="D64" s="2" t="s">
        <v>188</v>
      </c>
      <c r="E64" s="2" t="n">
        <v>202</v>
      </c>
      <c r="F64" s="2" t="s">
        <v>221</v>
      </c>
      <c r="G64" s="2" t="s">
        <v>93</v>
      </c>
      <c r="H64" s="2" t="s">
        <v>108</v>
      </c>
      <c r="I64" s="2" t="n">
        <v>2</v>
      </c>
      <c r="J64" s="2" t="s">
        <v>163</v>
      </c>
      <c r="K64" s="2" t="n">
        <v>48.9339982957177</v>
      </c>
      <c r="L64" s="2" t="n">
        <v>1.92</v>
      </c>
      <c r="M64" s="2" t="n">
        <v>5.22</v>
      </c>
      <c r="N64" s="2" t="n">
        <v>6.98</v>
      </c>
      <c r="O64" s="2" t="n">
        <v>0.1341</v>
      </c>
      <c r="P64" s="2" t="n">
        <v>14.3766324766536</v>
      </c>
      <c r="Q64" s="2" t="n">
        <v>20.9496015919217</v>
      </c>
      <c r="R64" s="2" t="n">
        <v>0.3513</v>
      </c>
      <c r="S64" s="2" t="n">
        <v>0</v>
      </c>
      <c r="T64" s="2" t="n">
        <v>0.977</v>
      </c>
      <c r="U64" s="2" t="n">
        <v>99.8426323642931</v>
      </c>
      <c r="V64" s="2" t="n">
        <v>2.68480998578122</v>
      </c>
      <c r="W64" s="2" t="n">
        <v>1.82007615933514</v>
      </c>
      <c r="X64" s="2" t="n">
        <v>0.053725204637088</v>
      </c>
      <c r="Y64" s="2" t="n">
        <v>0.228825335802361</v>
      </c>
      <c r="Z64" s="2" t="n">
        <v>0.217121391853668</v>
      </c>
      <c r="AA64" s="2" t="n">
        <v>0.797162235481799</v>
      </c>
      <c r="AB64" s="2" t="n">
        <v>0.834888910228189</v>
      </c>
      <c r="AC64" s="2" t="n">
        <v>0.0253338547693526</v>
      </c>
      <c r="AD64" s="2" t="n">
        <v>0</v>
      </c>
      <c r="AE64" s="2" t="n">
        <v>0.0287294451822318</v>
      </c>
      <c r="AF64" s="2" t="n">
        <v>0.00422455930993887</v>
      </c>
      <c r="AG64" s="2" t="n">
        <v>0.431091322896286</v>
      </c>
      <c r="AH64" s="2" t="n">
        <v>0.117415431736691</v>
      </c>
      <c r="AI64" s="2" t="n">
        <v>0.451493245367023</v>
      </c>
      <c r="AJ64" s="2" t="n">
        <v>78.593621547057</v>
      </c>
      <c r="AK64" s="2" t="n">
        <v>0.179915307214275</v>
      </c>
      <c r="AL64" s="2" t="n">
        <v>0.0489122439711273</v>
      </c>
      <c r="AM64" s="2" t="n">
        <v>0.0253341409155983</v>
      </c>
      <c r="AN64" s="2" t="n">
        <v>0.023578103055529</v>
      </c>
      <c r="AO64" s="2" t="n">
        <v>0.0781686020793727</v>
      </c>
      <c r="AP64" s="2" t="n">
        <v>2.2924435397024</v>
      </c>
      <c r="AQ64" s="2" t="n">
        <v>1.78113163312624</v>
      </c>
      <c r="AR64" s="2" t="n">
        <v>2.945630606019</v>
      </c>
      <c r="AS64" s="2" t="n">
        <v>1144.4033203125</v>
      </c>
      <c r="AT64" s="2" t="n">
        <v>1141.2775390625</v>
      </c>
      <c r="AU64" s="2" t="n">
        <v>1147.31065063477</v>
      </c>
      <c r="AV64" s="2" t="n">
        <v>7.90076673054314</v>
      </c>
      <c r="AW64" s="2" t="n">
        <v>6.16615608310451</v>
      </c>
      <c r="AX64" s="2" t="n">
        <v>10.0936374357886</v>
      </c>
      <c r="AY64" s="2" t="n">
        <v>3.73688304414896</v>
      </c>
      <c r="AZ64" s="2" t="n">
        <v>0.170447308380106</v>
      </c>
      <c r="BA64" s="2" t="n">
        <v>3.28840990262609</v>
      </c>
      <c r="BB64" s="2" t="n">
        <v>4.21711210616244</v>
      </c>
      <c r="BC64" s="2" t="n">
        <v>1456.37279611356</v>
      </c>
      <c r="BD64" s="2" t="n">
        <v>3.3716567742726</v>
      </c>
      <c r="BE64" s="2" t="n">
        <v>19</v>
      </c>
      <c r="BF64" s="2" t="n">
        <v>19</v>
      </c>
      <c r="BG64" s="2" t="n">
        <v>12.7153889598882</v>
      </c>
      <c r="BH64" s="2" t="n">
        <v>0.598395407300114</v>
      </c>
      <c r="BI64" s="2" t="n">
        <v>11.2340670941061</v>
      </c>
      <c r="BJ64" s="2" t="n">
        <v>14.2880882082235</v>
      </c>
      <c r="BK64" s="2" t="n">
        <v>1.6476147027107</v>
      </c>
      <c r="BL64" s="2" t="n">
        <v>1.21677668644851</v>
      </c>
      <c r="BM64" s="2" t="n">
        <v>2.22913363134455</v>
      </c>
      <c r="BN64" s="2" t="n">
        <v>19000</v>
      </c>
      <c r="BO64" s="2" t="n">
        <v>1157.09295654297</v>
      </c>
      <c r="BP64" s="2" t="n">
        <v>1146.53513793945</v>
      </c>
      <c r="BQ64" s="2" t="n">
        <v>1161.30475463867</v>
      </c>
      <c r="BR64" s="2" t="n">
        <v>19000</v>
      </c>
      <c r="BS64" s="2" t="n">
        <v>5.71059511674031</v>
      </c>
      <c r="BT64" s="2" t="n">
        <v>4.23320462309237</v>
      </c>
      <c r="BU64" s="2" t="n">
        <v>7.68684912102865</v>
      </c>
      <c r="BV64" s="2" t="n">
        <v>48.47</v>
      </c>
      <c r="BW64" s="2" t="n">
        <v>3.55</v>
      </c>
      <c r="BX64" s="2" t="n">
        <v>13.66</v>
      </c>
      <c r="BY64" s="2" t="n">
        <v>12.22</v>
      </c>
      <c r="BZ64" s="2" t="n">
        <v>0.19</v>
      </c>
      <c r="CA64" s="2" t="n">
        <v>6.53</v>
      </c>
      <c r="CB64" s="2" t="n">
        <v>11.51</v>
      </c>
      <c r="CC64" s="2" t="n">
        <v>2.99</v>
      </c>
      <c r="CD64" s="2" t="n">
        <v>0.48</v>
      </c>
      <c r="CE64" s="2" t="n">
        <v>0.41</v>
      </c>
      <c r="CF64" s="2" t="n">
        <v>0.15</v>
      </c>
    </row>
    <row r="65" customFormat="false" ht="15" hidden="false" customHeight="false" outlineLevel="0" collapsed="false">
      <c r="A65" s="2" t="s">
        <v>222</v>
      </c>
      <c r="B65" s="2" t="n">
        <v>2009</v>
      </c>
      <c r="C65" s="2" t="s">
        <v>187</v>
      </c>
      <c r="D65" s="2" t="s">
        <v>188</v>
      </c>
      <c r="E65" s="2" t="n">
        <v>203</v>
      </c>
      <c r="F65" s="2" t="s">
        <v>223</v>
      </c>
      <c r="G65" s="2" t="s">
        <v>97</v>
      </c>
      <c r="H65" s="2" t="s">
        <v>108</v>
      </c>
      <c r="I65" s="2" t="n">
        <v>2</v>
      </c>
      <c r="J65" s="2" t="s">
        <v>163</v>
      </c>
      <c r="K65" s="2" t="n">
        <v>52.0359469797535</v>
      </c>
      <c r="L65" s="2" t="n">
        <v>0.9349</v>
      </c>
      <c r="M65" s="2" t="n">
        <v>2.29</v>
      </c>
      <c r="N65" s="2" t="n">
        <v>7.1</v>
      </c>
      <c r="O65" s="2" t="n">
        <v>0.1982</v>
      </c>
      <c r="P65" s="2" t="n">
        <v>17.1328739735138</v>
      </c>
      <c r="Q65" s="2" t="n">
        <v>19.2863243659454</v>
      </c>
      <c r="R65" s="2" t="n">
        <v>0.2447</v>
      </c>
      <c r="S65" s="2" t="n">
        <v>0</v>
      </c>
      <c r="T65" s="2" t="n">
        <v>0.357</v>
      </c>
      <c r="U65" s="2" t="n">
        <v>99.5799453192127</v>
      </c>
      <c r="V65" s="2" t="n">
        <v>2.70452772148291</v>
      </c>
      <c r="W65" s="2" t="n">
        <v>1.9213409457441</v>
      </c>
      <c r="X65" s="2" t="n">
        <v>0.0259695322000132</v>
      </c>
      <c r="Y65" s="2" t="n">
        <v>0.0996531898516152</v>
      </c>
      <c r="Z65" s="2" t="n">
        <v>0.21924397002053</v>
      </c>
      <c r="AA65" s="2" t="n">
        <v>0.94306555596701</v>
      </c>
      <c r="AB65" s="2" t="n">
        <v>0.762999947277336</v>
      </c>
      <c r="AC65" s="2" t="n">
        <v>0.0175177858629232</v>
      </c>
      <c r="AD65" s="2" t="n">
        <v>0</v>
      </c>
      <c r="AE65" s="2" t="n">
        <v>0.0104213266444739</v>
      </c>
      <c r="AF65" s="2" t="n">
        <v>0.00619838290271431</v>
      </c>
      <c r="AG65" s="2" t="n">
        <v>0.489825437968573</v>
      </c>
      <c r="AH65" s="2" t="n">
        <v>0.113874664340971</v>
      </c>
      <c r="AI65" s="2" t="n">
        <v>0.396299897690456</v>
      </c>
      <c r="AJ65" s="2" t="n">
        <v>81.1372130126652</v>
      </c>
      <c r="AK65" s="2" t="n">
        <v>0.0786525518736281</v>
      </c>
      <c r="AL65" s="2" t="n">
        <v>0.0210014728046972</v>
      </c>
      <c r="AM65" s="2" t="n">
        <v>0.0175179608793789</v>
      </c>
      <c r="AN65" s="2" t="n">
        <v>0.0034835119253183</v>
      </c>
      <c r="AO65" s="2" t="n">
        <v>0.0375845199741549</v>
      </c>
      <c r="AP65" s="2" t="n">
        <v>0</v>
      </c>
      <c r="AQ65" s="2" t="n">
        <v>0</v>
      </c>
      <c r="AR65" s="2" t="n">
        <v>0.311071723786876</v>
      </c>
      <c r="AS65" s="2" t="n">
        <v>1121.41479492188</v>
      </c>
      <c r="AT65" s="2" t="n">
        <v>1094.12590332031</v>
      </c>
      <c r="AU65" s="2" t="n">
        <v>1134.86546630859</v>
      </c>
      <c r="AV65" s="2" t="n">
        <v>0</v>
      </c>
      <c r="AW65" s="2" t="n">
        <v>0</v>
      </c>
      <c r="AX65" s="2" t="n">
        <v>1.09076507545688</v>
      </c>
      <c r="AY65" s="2" t="n">
        <v>1.69791802641014</v>
      </c>
      <c r="AZ65" s="2" t="n">
        <v>0.132585942088117</v>
      </c>
      <c r="BA65" s="2" t="n">
        <v>1.09961541492767</v>
      </c>
      <c r="BB65" s="2" t="n">
        <v>2.26226227946477</v>
      </c>
      <c r="BC65" s="2" t="n">
        <v>1452.79653208808</v>
      </c>
      <c r="BD65" s="2" t="n">
        <v>2.19683748449031</v>
      </c>
      <c r="BE65" s="2" t="n">
        <v>41</v>
      </c>
      <c r="BF65" s="2" t="n">
        <v>41</v>
      </c>
      <c r="BG65" s="2" t="n">
        <v>5.88235734263585</v>
      </c>
      <c r="BH65" s="2" t="n">
        <v>0.465626269116816</v>
      </c>
      <c r="BI65" s="2" t="n">
        <v>3.82950046930356</v>
      </c>
      <c r="BJ65" s="2" t="n">
        <v>7.79881768055119</v>
      </c>
      <c r="BK65" s="2" t="n">
        <v>0</v>
      </c>
      <c r="BL65" s="2" t="n">
        <v>0</v>
      </c>
      <c r="BM65" s="2" t="n">
        <v>0.044812755677931</v>
      </c>
      <c r="BN65" s="2" t="n">
        <v>41000</v>
      </c>
      <c r="BO65" s="2" t="n">
        <v>1161.20489501953</v>
      </c>
      <c r="BP65" s="2" t="n">
        <v>1156.32286682129</v>
      </c>
      <c r="BQ65" s="2" t="n">
        <v>1163.59107055664</v>
      </c>
      <c r="BR65" s="2" t="n">
        <v>41000</v>
      </c>
      <c r="BS65" s="2" t="n">
        <v>0</v>
      </c>
      <c r="BT65" s="2" t="n">
        <v>0</v>
      </c>
      <c r="BU65" s="2" t="n">
        <v>0.157496319740973</v>
      </c>
      <c r="BV65" s="2" t="n">
        <v>48.77</v>
      </c>
      <c r="BW65" s="2" t="n">
        <v>3.43</v>
      </c>
      <c r="BX65" s="2" t="n">
        <v>13.84</v>
      </c>
      <c r="BY65" s="2" t="n">
        <v>11.98</v>
      </c>
      <c r="BZ65" s="2" t="n">
        <v>0.17</v>
      </c>
      <c r="CA65" s="2" t="n">
        <v>6.53</v>
      </c>
      <c r="CB65" s="2" t="n">
        <v>11.6</v>
      </c>
      <c r="CC65" s="2" t="n">
        <v>2.96</v>
      </c>
      <c r="CD65" s="2" t="n">
        <v>0.45</v>
      </c>
      <c r="CE65" s="2" t="n">
        <v>0.27</v>
      </c>
      <c r="CF65" s="2" t="n">
        <v>0.15</v>
      </c>
    </row>
    <row r="66" customFormat="false" ht="15" hidden="false" customHeight="false" outlineLevel="0" collapsed="false">
      <c r="A66" s="2" t="s">
        <v>224</v>
      </c>
      <c r="B66" s="2" t="n">
        <v>2009</v>
      </c>
      <c r="C66" s="2" t="s">
        <v>187</v>
      </c>
      <c r="D66" s="2" t="s">
        <v>188</v>
      </c>
      <c r="E66" s="2" t="n">
        <v>204</v>
      </c>
      <c r="F66" s="2" t="s">
        <v>225</v>
      </c>
      <c r="G66" s="2" t="s">
        <v>97</v>
      </c>
      <c r="H66" s="2" t="s">
        <v>108</v>
      </c>
      <c r="I66" s="2" t="n">
        <v>1</v>
      </c>
      <c r="J66" s="2" t="s">
        <v>90</v>
      </c>
      <c r="K66" s="2" t="n">
        <v>52.0157388450041</v>
      </c>
      <c r="L66" s="2" t="n">
        <v>1.0314</v>
      </c>
      <c r="M66" s="2" t="n">
        <v>2.25</v>
      </c>
      <c r="N66" s="2" t="n">
        <v>7.08</v>
      </c>
      <c r="O66" s="2" t="n">
        <v>0.1783</v>
      </c>
      <c r="P66" s="2" t="n">
        <v>16.9600086531532</v>
      </c>
      <c r="Q66" s="2" t="n">
        <v>19.661282815732</v>
      </c>
      <c r="R66" s="2" t="n">
        <v>0.2388</v>
      </c>
      <c r="S66" s="2" t="n">
        <v>0.0009</v>
      </c>
      <c r="T66" s="2" t="n">
        <v>0.3352</v>
      </c>
      <c r="U66" s="2" t="n">
        <v>99.7516303138893</v>
      </c>
      <c r="V66" s="2" t="n">
        <v>2.706417358275</v>
      </c>
      <c r="W66" s="2" t="n">
        <v>1.91925382314443</v>
      </c>
      <c r="X66" s="2" t="n">
        <v>0.0286300931446537</v>
      </c>
      <c r="Y66" s="2" t="n">
        <v>0.0978441596707537</v>
      </c>
      <c r="Z66" s="2" t="n">
        <v>0.218473735125065</v>
      </c>
      <c r="AA66" s="2" t="n">
        <v>0.932898510117602</v>
      </c>
      <c r="AB66" s="2" t="n">
        <v>0.777290855944624</v>
      </c>
      <c r="AC66" s="2" t="n">
        <v>0.017083475667339</v>
      </c>
      <c r="AD66" s="2" t="n">
        <v>4.23644073005562E-005</v>
      </c>
      <c r="AE66" s="2" t="n">
        <v>0.00977812240351643</v>
      </c>
      <c r="AF66" s="2" t="n">
        <v>0.00557214951604752</v>
      </c>
      <c r="AG66" s="2" t="n">
        <v>0.483702161120471</v>
      </c>
      <c r="AH66" s="2" t="n">
        <v>0.113277292955194</v>
      </c>
      <c r="AI66" s="2" t="n">
        <v>0.403020545924336</v>
      </c>
      <c r="AJ66" s="2" t="n">
        <v>81.0249260369292</v>
      </c>
      <c r="AK66" s="2" t="n">
        <v>0.0807394000560047</v>
      </c>
      <c r="AL66" s="2" t="n">
        <v>0.0171055936366803</v>
      </c>
      <c r="AM66" s="2" t="n">
        <v>0.0170836488501996</v>
      </c>
      <c r="AN66" s="2" t="n">
        <v>2.19447864806335E-005</v>
      </c>
      <c r="AO66" s="2" t="n">
        <v>0.040358727634762</v>
      </c>
      <c r="AP66" s="2" t="n">
        <v>0</v>
      </c>
      <c r="AQ66" s="2" t="n">
        <v>0</v>
      </c>
      <c r="AR66" s="2" t="n">
        <v>0.393106961823315</v>
      </c>
      <c r="AS66" s="2" t="n">
        <v>1101.69653320313</v>
      </c>
      <c r="AT66" s="2" t="n">
        <v>1073.99990844727</v>
      </c>
      <c r="AU66" s="2" t="n">
        <v>1125.25505981445</v>
      </c>
      <c r="AV66" s="2" t="n">
        <v>0</v>
      </c>
      <c r="AW66" s="2" t="n">
        <v>0</v>
      </c>
      <c r="AX66" s="2" t="n">
        <v>1.37744241464654</v>
      </c>
      <c r="AY66" s="2" t="n">
        <v>1.44661760936231</v>
      </c>
      <c r="AZ66" s="2" t="n">
        <v>0.137057792061342</v>
      </c>
      <c r="BA66" s="2" t="n">
        <v>0.523987739743584</v>
      </c>
      <c r="BB66" s="2" t="n">
        <v>2.34050625642831</v>
      </c>
      <c r="BC66" s="2" t="n">
        <v>1447.85129214106</v>
      </c>
      <c r="BD66" s="2" t="n">
        <v>2.70510697263207</v>
      </c>
      <c r="BE66" s="2" t="n">
        <v>74</v>
      </c>
      <c r="BF66" s="2" t="n">
        <v>74</v>
      </c>
      <c r="BG66" s="2" t="n">
        <v>5.02275396677311</v>
      </c>
      <c r="BH66" s="2" t="n">
        <v>0.481312310506022</v>
      </c>
      <c r="BI66" s="2" t="n">
        <v>1.833969230677</v>
      </c>
      <c r="BJ66" s="2" t="n">
        <v>8.06300347002397</v>
      </c>
      <c r="BK66" s="2" t="n">
        <v>0</v>
      </c>
      <c r="BL66" s="2" t="n">
        <v>0</v>
      </c>
      <c r="BM66" s="2" t="n">
        <v>0.0520597037151323</v>
      </c>
      <c r="BN66" s="2" t="n">
        <v>74000</v>
      </c>
      <c r="BO66" s="2" t="n">
        <v>1161.19067382813</v>
      </c>
      <c r="BP66" s="2" t="n">
        <v>1155.55296020508</v>
      </c>
      <c r="BQ66" s="2" t="n">
        <v>1163.99194335938</v>
      </c>
      <c r="BR66" s="2" t="n">
        <v>74000</v>
      </c>
      <c r="BS66" s="2" t="n">
        <v>0</v>
      </c>
      <c r="BT66" s="2" t="n">
        <v>0</v>
      </c>
      <c r="BU66" s="2" t="n">
        <v>0.182954592845681</v>
      </c>
      <c r="BV66" s="2" t="n">
        <v>48.77</v>
      </c>
      <c r="BW66" s="2" t="n">
        <v>3.43</v>
      </c>
      <c r="BX66" s="2" t="n">
        <v>13.84</v>
      </c>
      <c r="BY66" s="2" t="n">
        <v>11.98</v>
      </c>
      <c r="BZ66" s="2" t="n">
        <v>0.17</v>
      </c>
      <c r="CA66" s="2" t="n">
        <v>6.53</v>
      </c>
      <c r="CB66" s="2" t="n">
        <v>11.6</v>
      </c>
      <c r="CC66" s="2" t="n">
        <v>2.96</v>
      </c>
      <c r="CD66" s="2" t="n">
        <v>0.45</v>
      </c>
      <c r="CE66" s="2" t="n">
        <v>0.27</v>
      </c>
      <c r="CF66" s="2" t="n">
        <v>0.15</v>
      </c>
    </row>
    <row r="67" customFormat="false" ht="15" hidden="false" customHeight="false" outlineLevel="0" collapsed="false">
      <c r="A67" s="2" t="s">
        <v>226</v>
      </c>
      <c r="B67" s="2" t="n">
        <v>2009</v>
      </c>
      <c r="C67" s="2" t="s">
        <v>187</v>
      </c>
      <c r="D67" s="2" t="s">
        <v>188</v>
      </c>
      <c r="E67" s="2" t="n">
        <v>205</v>
      </c>
      <c r="F67" s="2" t="s">
        <v>227</v>
      </c>
      <c r="G67" s="2" t="s">
        <v>93</v>
      </c>
      <c r="H67" s="2" t="s">
        <v>108</v>
      </c>
      <c r="I67" s="2" t="n">
        <v>1</v>
      </c>
      <c r="J67" s="2" t="s">
        <v>90</v>
      </c>
      <c r="K67" s="2" t="n">
        <v>49.9039887636898</v>
      </c>
      <c r="L67" s="2" t="n">
        <v>1.6375</v>
      </c>
      <c r="M67" s="2" t="n">
        <v>4.2</v>
      </c>
      <c r="N67" s="2" t="n">
        <v>7.21</v>
      </c>
      <c r="O67" s="2" t="n">
        <v>0.1729</v>
      </c>
      <c r="P67" s="2" t="n">
        <v>15.2409590784565</v>
      </c>
      <c r="Q67" s="2" t="n">
        <v>20.6131004190364</v>
      </c>
      <c r="R67" s="2" t="n">
        <v>0.2891</v>
      </c>
      <c r="S67" s="2" t="n">
        <v>0.0044</v>
      </c>
      <c r="T67" s="2" t="n">
        <v>0.5203</v>
      </c>
      <c r="U67" s="2" t="n">
        <v>99.7922482611827</v>
      </c>
      <c r="V67" s="2" t="n">
        <v>2.68923385020586</v>
      </c>
      <c r="W67" s="2" t="n">
        <v>1.85310105518264</v>
      </c>
      <c r="X67" s="2" t="n">
        <v>0.0457449485604183</v>
      </c>
      <c r="Y67" s="2" t="n">
        <v>0.183809469236444</v>
      </c>
      <c r="Z67" s="2" t="n">
        <v>0.223906881711319</v>
      </c>
      <c r="AA67" s="2" t="n">
        <v>0.843697627828856</v>
      </c>
      <c r="AB67" s="2" t="n">
        <v>0.820127223855239</v>
      </c>
      <c r="AC67" s="2" t="n">
        <v>0.02081403131688</v>
      </c>
      <c r="AD67" s="2" t="n">
        <v>0.000208438290598771</v>
      </c>
      <c r="AE67" s="2" t="n">
        <v>0.0152746576944544</v>
      </c>
      <c r="AF67" s="2" t="n">
        <v>0.00543791747290608</v>
      </c>
      <c r="AG67" s="2" t="n">
        <v>0.446937249029193</v>
      </c>
      <c r="AH67" s="2" t="n">
        <v>0.118611600234416</v>
      </c>
      <c r="AI67" s="2" t="n">
        <v>0.434451150736391</v>
      </c>
      <c r="AJ67" s="2" t="n">
        <v>79.0271697327546</v>
      </c>
      <c r="AK67" s="2" t="n">
        <v>0.146890881847116</v>
      </c>
      <c r="AL67" s="2" t="n">
        <v>0.0369203049234524</v>
      </c>
      <c r="AM67" s="2" t="n">
        <v>0.0208142593880381</v>
      </c>
      <c r="AN67" s="2" t="n">
        <v>0.0161060455354144</v>
      </c>
      <c r="AO67" s="2" t="n">
        <v>0.0653924181558507</v>
      </c>
      <c r="AP67" s="2" t="n">
        <v>1.52461543618993</v>
      </c>
      <c r="AQ67" s="2" t="n">
        <v>1.34198202430562</v>
      </c>
      <c r="AR67" s="2" t="n">
        <v>1.88798888265446</v>
      </c>
      <c r="AS67" s="2" t="n">
        <v>1101.72045898438</v>
      </c>
      <c r="AT67" s="2" t="n">
        <v>1095.03775939941</v>
      </c>
      <c r="AU67" s="2" t="n">
        <v>1106.58711853027</v>
      </c>
      <c r="AV67" s="2" t="n">
        <v>5.28996450958362</v>
      </c>
      <c r="AW67" s="2" t="n">
        <v>4.66370685192327</v>
      </c>
      <c r="AX67" s="2" t="n">
        <v>6.52997570128771</v>
      </c>
      <c r="AY67" s="2" t="n">
        <v>2.53307241011034</v>
      </c>
      <c r="AZ67" s="2" t="n">
        <v>0.157649807122044</v>
      </c>
      <c r="BA67" s="2" t="n">
        <v>1.97996746867033</v>
      </c>
      <c r="BB67" s="2" t="n">
        <v>3.08511173012686</v>
      </c>
      <c r="BC67" s="2" t="n">
        <v>1449.90104647987</v>
      </c>
      <c r="BD67" s="2" t="n">
        <v>3.4034219530624</v>
      </c>
      <c r="BE67" s="2" t="n">
        <v>38</v>
      </c>
      <c r="BF67" s="2" t="n">
        <v>38</v>
      </c>
      <c r="BG67" s="2" t="n">
        <v>8.71161067491061</v>
      </c>
      <c r="BH67" s="2" t="n">
        <v>0.553527896971321</v>
      </c>
      <c r="BI67" s="2" t="n">
        <v>6.84258340643512</v>
      </c>
      <c r="BJ67" s="2" t="n">
        <v>10.5585515260158</v>
      </c>
      <c r="BK67" s="2" t="n">
        <v>1.1174275068342</v>
      </c>
      <c r="BL67" s="2" t="n">
        <v>0.662171901215445</v>
      </c>
      <c r="BM67" s="2" t="n">
        <v>1.58781442991631</v>
      </c>
      <c r="BN67" s="2" t="n">
        <v>38000</v>
      </c>
      <c r="BO67" s="2" t="n">
        <v>1159.54187011719</v>
      </c>
      <c r="BP67" s="2" t="n">
        <v>1151.74730529785</v>
      </c>
      <c r="BQ67" s="2" t="n">
        <v>1162.51696777344</v>
      </c>
      <c r="BR67" s="2" t="n">
        <v>38000</v>
      </c>
      <c r="BS67" s="2" t="n">
        <v>3.89092945101755</v>
      </c>
      <c r="BT67" s="2" t="n">
        <v>2.31484449719258</v>
      </c>
      <c r="BU67" s="2" t="n">
        <v>5.50620576782808</v>
      </c>
      <c r="BV67" s="2" t="n">
        <v>48.77</v>
      </c>
      <c r="BW67" s="2" t="n">
        <v>3.43</v>
      </c>
      <c r="BX67" s="2" t="n">
        <v>13.84</v>
      </c>
      <c r="BY67" s="2" t="n">
        <v>11.98</v>
      </c>
      <c r="BZ67" s="2" t="n">
        <v>0.17</v>
      </c>
      <c r="CA67" s="2" t="n">
        <v>6.53</v>
      </c>
      <c r="CB67" s="2" t="n">
        <v>11.6</v>
      </c>
      <c r="CC67" s="2" t="n">
        <v>2.96</v>
      </c>
      <c r="CD67" s="2" t="n">
        <v>0.45</v>
      </c>
      <c r="CE67" s="2" t="n">
        <v>0.27</v>
      </c>
      <c r="CF67" s="2" t="n">
        <v>0.15</v>
      </c>
    </row>
    <row r="68" customFormat="false" ht="15" hidden="false" customHeight="false" outlineLevel="0" collapsed="false">
      <c r="A68" s="2" t="s">
        <v>228</v>
      </c>
      <c r="B68" s="2" t="n">
        <v>2009</v>
      </c>
      <c r="C68" s="2" t="s">
        <v>187</v>
      </c>
      <c r="D68" s="2" t="s">
        <v>188</v>
      </c>
      <c r="E68" s="2" t="n">
        <v>206</v>
      </c>
      <c r="F68" s="2" t="s">
        <v>229</v>
      </c>
      <c r="G68" s="2" t="s">
        <v>93</v>
      </c>
      <c r="H68" s="2" t="s">
        <v>108</v>
      </c>
      <c r="I68" s="2" t="n">
        <v>1</v>
      </c>
      <c r="J68" s="2" t="s">
        <v>90</v>
      </c>
      <c r="K68" s="2" t="n">
        <v>49.6614911466968</v>
      </c>
      <c r="L68" s="2" t="n">
        <v>1.74</v>
      </c>
      <c r="M68" s="2" t="n">
        <v>4.38</v>
      </c>
      <c r="N68" s="2" t="n">
        <v>7.17</v>
      </c>
      <c r="O68" s="2" t="n">
        <v>0.1405</v>
      </c>
      <c r="P68" s="2" t="n">
        <v>14.9912647268245</v>
      </c>
      <c r="Q68" s="2" t="n">
        <v>20.9015299957953</v>
      </c>
      <c r="R68" s="2" t="n">
        <v>0.3206</v>
      </c>
      <c r="S68" s="2" t="n">
        <v>0</v>
      </c>
      <c r="T68" s="2" t="n">
        <v>0.5226</v>
      </c>
      <c r="U68" s="2" t="n">
        <v>99.8279858693166</v>
      </c>
      <c r="V68" s="2" t="n">
        <v>2.68746648079438</v>
      </c>
      <c r="W68" s="2" t="n">
        <v>1.84530905274304</v>
      </c>
      <c r="X68" s="2" t="n">
        <v>0.0486403393415483</v>
      </c>
      <c r="Y68" s="2" t="n">
        <v>0.191813077824042</v>
      </c>
      <c r="Z68" s="2" t="n">
        <v>0.222811111741731</v>
      </c>
      <c r="AA68" s="2" t="n">
        <v>0.830420988624847</v>
      </c>
      <c r="AB68" s="2" t="n">
        <v>0.832149774992936</v>
      </c>
      <c r="AC68" s="2" t="n">
        <v>0.0230970834240523</v>
      </c>
      <c r="AD68" s="2" t="n">
        <v>0</v>
      </c>
      <c r="AE68" s="2" t="n">
        <v>0.0153522692648701</v>
      </c>
      <c r="AF68" s="2" t="n">
        <v>0.00442180367475087</v>
      </c>
      <c r="AG68" s="2" t="n">
        <v>0.440452408860936</v>
      </c>
      <c r="AH68" s="2" t="n">
        <v>0.118178239991431</v>
      </c>
      <c r="AI68" s="2" t="n">
        <v>0.441369351147633</v>
      </c>
      <c r="AJ68" s="2" t="n">
        <v>78.8450132060937</v>
      </c>
      <c r="AK68" s="2" t="n">
        <v>0.154682653854942</v>
      </c>
      <c r="AL68" s="2" t="n">
        <v>0.0371322437665657</v>
      </c>
      <c r="AM68" s="2" t="n">
        <v>0.0230973398205224</v>
      </c>
      <c r="AN68" s="2" t="n">
        <v>0.0140349039460433</v>
      </c>
      <c r="AO68" s="2" t="n">
        <v>0.0703238749544494</v>
      </c>
      <c r="AP68" s="2" t="n">
        <v>1.15117061768618</v>
      </c>
      <c r="AQ68" s="2" t="n">
        <v>0.887664485321906</v>
      </c>
      <c r="AR68" s="2" t="n">
        <v>1.59511954818812</v>
      </c>
      <c r="AS68" s="2" t="n">
        <v>1105.67529296875</v>
      </c>
      <c r="AT68" s="2" t="n">
        <v>1096.55552978516</v>
      </c>
      <c r="AU68" s="2" t="n">
        <v>1109.53528442383</v>
      </c>
      <c r="AV68" s="2" t="n">
        <v>4.00724740285481</v>
      </c>
      <c r="AW68" s="2" t="n">
        <v>3.09706473231669</v>
      </c>
      <c r="AX68" s="2" t="n">
        <v>5.53118530637234</v>
      </c>
      <c r="AY68" s="2" t="n">
        <v>3.087082090264</v>
      </c>
      <c r="AZ68" s="2" t="n">
        <v>0.170741550959558</v>
      </c>
      <c r="BA68" s="2" t="n">
        <v>2.58825242912006</v>
      </c>
      <c r="BB68" s="2" t="n">
        <v>3.59713473201118</v>
      </c>
      <c r="BC68" s="2" t="n">
        <v>1452.03448134622</v>
      </c>
      <c r="BD68" s="2" t="n">
        <v>3.32740692349431</v>
      </c>
      <c r="BE68" s="2" t="n">
        <v>27</v>
      </c>
      <c r="BF68" s="2" t="n">
        <v>27</v>
      </c>
      <c r="BG68" s="2" t="n">
        <v>10.5651106234487</v>
      </c>
      <c r="BH68" s="2" t="n">
        <v>0.599426892898822</v>
      </c>
      <c r="BI68" s="2" t="n">
        <v>8.89705548124679</v>
      </c>
      <c r="BJ68" s="2" t="n">
        <v>12.2551028423868</v>
      </c>
      <c r="BK68" s="2" t="n">
        <v>1.22595318547648</v>
      </c>
      <c r="BL68" s="2" t="n">
        <v>0.722695896621388</v>
      </c>
      <c r="BM68" s="2" t="n">
        <v>1.6818324048338</v>
      </c>
      <c r="BN68" s="2" t="n">
        <v>27000</v>
      </c>
      <c r="BO68" s="2" t="n">
        <v>1158.69396972656</v>
      </c>
      <c r="BP68" s="2" t="n">
        <v>1148.26176147461</v>
      </c>
      <c r="BQ68" s="2" t="n">
        <v>1162.44067382813</v>
      </c>
      <c r="BR68" s="2" t="n">
        <v>27000</v>
      </c>
      <c r="BS68" s="2" t="n">
        <v>4.26478908006348</v>
      </c>
      <c r="BT68" s="2" t="n">
        <v>2.52510113535364</v>
      </c>
      <c r="BU68" s="2" t="n">
        <v>5.82744917694528</v>
      </c>
      <c r="BV68" s="2" t="n">
        <v>48.8</v>
      </c>
      <c r="BW68" s="2" t="n">
        <v>3.44</v>
      </c>
      <c r="BX68" s="2" t="n">
        <v>13.74</v>
      </c>
      <c r="BY68" s="2" t="n">
        <v>11.98</v>
      </c>
      <c r="BZ68" s="2" t="n">
        <v>0.22</v>
      </c>
      <c r="CA68" s="2" t="n">
        <v>6.49</v>
      </c>
      <c r="CB68" s="2" t="n">
        <v>11.59</v>
      </c>
      <c r="CC68" s="2" t="n">
        <v>2.96</v>
      </c>
      <c r="CD68" s="2" t="n">
        <v>0.49</v>
      </c>
      <c r="CE68" s="2" t="n">
        <v>0.28</v>
      </c>
      <c r="CF68" s="2" t="n">
        <v>0.15</v>
      </c>
    </row>
    <row r="69" customFormat="false" ht="15" hidden="false" customHeight="false" outlineLevel="0" collapsed="false">
      <c r="A69" s="2" t="s">
        <v>230</v>
      </c>
      <c r="B69" s="2" t="n">
        <v>2009</v>
      </c>
      <c r="C69" s="2" t="s">
        <v>187</v>
      </c>
      <c r="D69" s="2" t="s">
        <v>188</v>
      </c>
      <c r="E69" s="2" t="n">
        <v>207</v>
      </c>
      <c r="F69" s="2" t="s">
        <v>231</v>
      </c>
      <c r="G69" s="2" t="s">
        <v>93</v>
      </c>
      <c r="H69" s="2" t="s">
        <v>89</v>
      </c>
      <c r="I69" s="2" t="n">
        <v>1</v>
      </c>
      <c r="J69" s="2" t="s">
        <v>90</v>
      </c>
      <c r="K69" s="2" t="n">
        <v>52.1774039229995</v>
      </c>
      <c r="L69" s="2" t="n">
        <v>1.1556</v>
      </c>
      <c r="M69" s="2" t="n">
        <v>2.47</v>
      </c>
      <c r="N69" s="2" t="n">
        <v>7.94</v>
      </c>
      <c r="O69" s="2" t="n">
        <v>0.211</v>
      </c>
      <c r="P69" s="2" t="n">
        <v>17.1616848602405</v>
      </c>
      <c r="Q69" s="2" t="n">
        <v>18.4018069972181</v>
      </c>
      <c r="R69" s="2" t="n">
        <v>0.2318</v>
      </c>
      <c r="S69" s="2" t="n">
        <v>0.0008</v>
      </c>
      <c r="T69" s="2" t="n">
        <v>0.2806</v>
      </c>
      <c r="U69" s="2" t="n">
        <v>100.030695780458</v>
      </c>
      <c r="V69" s="2" t="n">
        <v>2.71516577415971</v>
      </c>
      <c r="W69" s="2" t="n">
        <v>1.91901570718531</v>
      </c>
      <c r="X69" s="2" t="n">
        <v>0.0319743398546641</v>
      </c>
      <c r="Y69" s="2" t="n">
        <v>0.107065059461778</v>
      </c>
      <c r="Z69" s="2" t="n">
        <v>0.244222064446516</v>
      </c>
      <c r="AA69" s="2" t="n">
        <v>0.940950272700026</v>
      </c>
      <c r="AB69" s="2" t="n">
        <v>0.725154588716541</v>
      </c>
      <c r="AC69" s="2" t="n">
        <v>0.0165292733691368</v>
      </c>
      <c r="AD69" s="2" t="n">
        <v>3.753591716652E-005</v>
      </c>
      <c r="AE69" s="2" t="n">
        <v>0.00815901151281438</v>
      </c>
      <c r="AF69" s="2" t="n">
        <v>0.00657282838418019</v>
      </c>
      <c r="AG69" s="2" t="n">
        <v>0.492559812648249</v>
      </c>
      <c r="AH69" s="2" t="n">
        <v>0.127843072900298</v>
      </c>
      <c r="AI69" s="2" t="n">
        <v>0.379597114451453</v>
      </c>
      <c r="AJ69" s="2" t="n">
        <v>79.3935399273229</v>
      </c>
      <c r="AK69" s="2" t="n">
        <v>0.0809769790862354</v>
      </c>
      <c r="AL69" s="2" t="n">
        <v>0.0260890229994737</v>
      </c>
      <c r="AM69" s="2" t="n">
        <v>0.0165294455658624</v>
      </c>
      <c r="AN69" s="2" t="n">
        <v>0.00955957743361129</v>
      </c>
      <c r="AO69" s="2" t="n">
        <v>0.035708700826312</v>
      </c>
      <c r="AP69" s="2" t="n">
        <v>0</v>
      </c>
      <c r="AQ69" s="2" t="n">
        <v>0</v>
      </c>
      <c r="AR69" s="2" t="n">
        <v>0.0232494927819407</v>
      </c>
      <c r="AS69" s="2" t="n">
        <v>1144.61145019531</v>
      </c>
      <c r="AT69" s="2" t="n">
        <v>1137.53828125</v>
      </c>
      <c r="AU69" s="2" t="n">
        <v>1146.68341369629</v>
      </c>
      <c r="AV69" s="2" t="n">
        <v>0</v>
      </c>
      <c r="AW69" s="2" t="n">
        <v>0</v>
      </c>
      <c r="AX69" s="2" t="n">
        <v>0.0817265133429123</v>
      </c>
      <c r="AY69" s="2" t="n">
        <v>1.4865694761071</v>
      </c>
      <c r="AZ69" s="2" t="n">
        <v>0.28495581059499</v>
      </c>
      <c r="BA69" s="2" t="n">
        <v>0.71946279202118</v>
      </c>
      <c r="BB69" s="2" t="n">
        <v>2.15162169480422</v>
      </c>
      <c r="BC69" s="2" t="n">
        <v>1453.45489906133</v>
      </c>
      <c r="BD69" s="2" t="n">
        <v>6.38773966459338</v>
      </c>
      <c r="BE69" s="2" t="n">
        <v>5</v>
      </c>
      <c r="BF69" s="2" t="n">
        <v>5</v>
      </c>
      <c r="BG69" s="2" t="n">
        <v>5.15966999018397</v>
      </c>
      <c r="BH69" s="2" t="n">
        <v>0.999415780106973</v>
      </c>
      <c r="BI69" s="2" t="n">
        <v>2.51387514118145</v>
      </c>
      <c r="BJ69" s="2" t="n">
        <v>7.42461359646033</v>
      </c>
      <c r="BK69" s="2" t="n">
        <v>0</v>
      </c>
      <c r="BL69" s="2" t="n">
        <v>0</v>
      </c>
      <c r="BM69" s="2" t="n">
        <v>0.202606100539056</v>
      </c>
      <c r="BN69" s="2" t="n">
        <v>5000</v>
      </c>
      <c r="BO69" s="2" t="n">
        <v>1161.30285644531</v>
      </c>
      <c r="BP69" s="2" t="n">
        <v>1149.87945861816</v>
      </c>
      <c r="BQ69" s="2" t="n">
        <v>1163.98330383301</v>
      </c>
      <c r="BR69" s="2" t="n">
        <v>5000</v>
      </c>
      <c r="BS69" s="2" t="n">
        <v>0</v>
      </c>
      <c r="BT69" s="2" t="n">
        <v>0</v>
      </c>
      <c r="BU69" s="2" t="n">
        <v>0.711098997156403</v>
      </c>
      <c r="BV69" s="2" t="n">
        <v>48.71</v>
      </c>
      <c r="BW69" s="2" t="n">
        <v>3.51</v>
      </c>
      <c r="BX69" s="2" t="n">
        <v>13.85</v>
      </c>
      <c r="BY69" s="2" t="n">
        <v>11.89</v>
      </c>
      <c r="BZ69" s="2" t="n">
        <v>0.2</v>
      </c>
      <c r="CA69" s="2" t="n">
        <v>6.66</v>
      </c>
      <c r="CB69" s="2" t="n">
        <v>11.48</v>
      </c>
      <c r="CC69" s="2" t="n">
        <v>2.98</v>
      </c>
      <c r="CD69" s="2" t="n">
        <v>0.43</v>
      </c>
      <c r="CE69" s="2" t="n">
        <v>0.27</v>
      </c>
      <c r="CF69" s="2" t="n">
        <v>0.15</v>
      </c>
    </row>
    <row r="70" customFormat="false" ht="15" hidden="false" customHeight="false" outlineLevel="0" collapsed="false">
      <c r="A70" s="2" t="s">
        <v>232</v>
      </c>
      <c r="B70" s="2" t="n">
        <v>2009</v>
      </c>
      <c r="C70" s="2" t="s">
        <v>187</v>
      </c>
      <c r="D70" s="2" t="s">
        <v>188</v>
      </c>
      <c r="E70" s="2" t="n">
        <v>208</v>
      </c>
      <c r="F70" s="2" t="s">
        <v>233</v>
      </c>
      <c r="G70" s="2" t="s">
        <v>88</v>
      </c>
      <c r="H70" s="2" t="s">
        <v>94</v>
      </c>
      <c r="I70" s="2" t="n">
        <v>1</v>
      </c>
      <c r="J70" s="2" t="s">
        <v>90</v>
      </c>
      <c r="K70" s="2" t="n">
        <v>48.2469217142375</v>
      </c>
      <c r="L70" s="2" t="n">
        <v>2.55</v>
      </c>
      <c r="M70" s="2" t="n">
        <v>5.7</v>
      </c>
      <c r="N70" s="2" t="n">
        <v>7.71</v>
      </c>
      <c r="O70" s="2" t="n">
        <v>0.1508</v>
      </c>
      <c r="P70" s="2" t="n">
        <v>13.9444691757522</v>
      </c>
      <c r="Q70" s="2" t="n">
        <v>20.9015299957953</v>
      </c>
      <c r="R70" s="2" t="n">
        <v>0.3648</v>
      </c>
      <c r="S70" s="2" t="n">
        <v>0</v>
      </c>
      <c r="T70" s="2" t="n">
        <v>0.6256</v>
      </c>
      <c r="U70" s="2" t="n">
        <v>100.194120885785</v>
      </c>
      <c r="V70" s="2" t="n">
        <v>2.62007999867213</v>
      </c>
      <c r="W70" s="2" t="n">
        <v>1.83885493878116</v>
      </c>
      <c r="X70" s="2" t="n">
        <v>0.0731166075291963</v>
      </c>
      <c r="Y70" s="2" t="n">
        <v>0.256039790804674</v>
      </c>
      <c r="Z70" s="2" t="n">
        <v>0.24575398704981</v>
      </c>
      <c r="AA70" s="2" t="n">
        <v>0.792301603831955</v>
      </c>
      <c r="AB70" s="2" t="n">
        <v>0.853552039795546</v>
      </c>
      <c r="AC70" s="2" t="n">
        <v>0.0269573352112016</v>
      </c>
      <c r="AD70" s="2" t="n">
        <v>0</v>
      </c>
      <c r="AE70" s="2" t="n">
        <v>0.0188507406341506</v>
      </c>
      <c r="AF70" s="2" t="n">
        <v>0.00486802699653681</v>
      </c>
      <c r="AG70" s="2" t="n">
        <v>0.418850923935141</v>
      </c>
      <c r="AH70" s="2" t="n">
        <v>0.129918056506156</v>
      </c>
      <c r="AI70" s="2" t="n">
        <v>0.451231019558703</v>
      </c>
      <c r="AJ70" s="2" t="n">
        <v>76.325546607667</v>
      </c>
      <c r="AK70" s="2"/>
      <c r="AL70" s="2"/>
      <c r="AM70" s="2"/>
      <c r="AN70" s="2"/>
      <c r="AO70" s="2"/>
      <c r="AP70" s="2" t="n">
        <v>1.06707497185649</v>
      </c>
      <c r="AQ70" s="2" t="n">
        <v>0.848424577178378</v>
      </c>
      <c r="AR70" s="2" t="n">
        <v>1.82258804387035</v>
      </c>
      <c r="AS70" s="2" t="n">
        <v>1131.74365234375</v>
      </c>
      <c r="AT70" s="2" t="n">
        <v>1125.0220703125</v>
      </c>
      <c r="AU70" s="2" t="n">
        <v>1135.1854095459</v>
      </c>
      <c r="AV70" s="2" t="n">
        <v>3.7172278289847</v>
      </c>
      <c r="AW70" s="2" t="n">
        <v>2.9611652957277</v>
      </c>
      <c r="AX70" s="2" t="n">
        <v>6.30738593996068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customFormat="false" ht="15" hidden="false" customHeight="false" outlineLevel="0" collapsed="false">
      <c r="A71" s="2" t="s">
        <v>234</v>
      </c>
      <c r="B71" s="2" t="n">
        <v>2009</v>
      </c>
      <c r="C71" s="2" t="s">
        <v>187</v>
      </c>
      <c r="D71" s="2" t="s">
        <v>188</v>
      </c>
      <c r="E71" s="2" t="n">
        <v>209</v>
      </c>
      <c r="F71" s="2" t="s">
        <v>235</v>
      </c>
      <c r="G71" s="2" t="s">
        <v>93</v>
      </c>
      <c r="H71" s="2" t="s">
        <v>94</v>
      </c>
      <c r="I71" s="2" t="n">
        <v>1</v>
      </c>
      <c r="J71" s="2" t="s">
        <v>90</v>
      </c>
      <c r="K71" s="2" t="n">
        <v>48.1155688383663</v>
      </c>
      <c r="L71" s="2" t="n">
        <v>2.36</v>
      </c>
      <c r="M71" s="2" t="n">
        <v>5.68</v>
      </c>
      <c r="N71" s="2" t="n">
        <v>8.11</v>
      </c>
      <c r="O71" s="2" t="n">
        <v>0.1569</v>
      </c>
      <c r="P71" s="2" t="n">
        <v>14.3574252188358</v>
      </c>
      <c r="Q71" s="2" t="n">
        <v>20.2477562884751</v>
      </c>
      <c r="R71" s="2" t="n">
        <v>0.3549</v>
      </c>
      <c r="S71" s="2" t="n">
        <v>0</v>
      </c>
      <c r="T71" s="2" t="n">
        <v>0.4548</v>
      </c>
      <c r="U71" s="2" t="n">
        <v>99.8373503456771</v>
      </c>
      <c r="V71" s="2" t="n">
        <v>2.61582951901513</v>
      </c>
      <c r="W71" s="2" t="n">
        <v>1.83682846559333</v>
      </c>
      <c r="X71" s="2" t="n">
        <v>0.0677786587876686</v>
      </c>
      <c r="Y71" s="2" t="n">
        <v>0.255555986625858</v>
      </c>
      <c r="Z71" s="2" t="n">
        <v>0.258923914389864</v>
      </c>
      <c r="AA71" s="2" t="n">
        <v>0.817090623458782</v>
      </c>
      <c r="AB71" s="2" t="n">
        <v>0.828197560752363</v>
      </c>
      <c r="AC71" s="2" t="n">
        <v>0.0262683772169659</v>
      </c>
      <c r="AD71" s="2" t="n">
        <v>0</v>
      </c>
      <c r="AE71" s="2" t="n">
        <v>0.0137264189303553</v>
      </c>
      <c r="AF71" s="2" t="n">
        <v>0.00507317326953234</v>
      </c>
      <c r="AG71" s="2" t="n">
        <v>0.429096435244311</v>
      </c>
      <c r="AH71" s="2" t="n">
        <v>0.135974303797403</v>
      </c>
      <c r="AI71" s="2" t="n">
        <v>0.434929260958286</v>
      </c>
      <c r="AJ71" s="2" t="n">
        <v>75.9367643017585</v>
      </c>
      <c r="AK71" s="2"/>
      <c r="AL71" s="2"/>
      <c r="AM71" s="2"/>
      <c r="AN71" s="2"/>
      <c r="AO71" s="2"/>
      <c r="AP71" s="2" t="n">
        <v>1.54283775516766</v>
      </c>
      <c r="AQ71" s="2" t="n">
        <v>1.34528146215695</v>
      </c>
      <c r="AR71" s="2" t="n">
        <v>2.58133256860989</v>
      </c>
      <c r="AS71" s="2" t="n">
        <v>1127.02685546875</v>
      </c>
      <c r="AT71" s="2" t="n">
        <v>1122.92888793945</v>
      </c>
      <c r="AU71" s="2" t="n">
        <v>1133.47696838379</v>
      </c>
      <c r="AV71" s="2" t="n">
        <v>5.35233870872923</v>
      </c>
      <c r="AW71" s="2" t="n">
        <v>4.6750386917612</v>
      </c>
      <c r="AX71" s="2" t="n">
        <v>8.87380985973361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customFormat="false" ht="15" hidden="false" customHeight="false" outlineLevel="0" collapsed="false">
      <c r="A72" s="2" t="s">
        <v>236</v>
      </c>
      <c r="B72" s="2" t="n">
        <v>2009</v>
      </c>
      <c r="C72" s="2" t="s">
        <v>187</v>
      </c>
      <c r="D72" s="2" t="s">
        <v>188</v>
      </c>
      <c r="E72" s="2" t="n">
        <v>210</v>
      </c>
      <c r="F72" s="2" t="s">
        <v>237</v>
      </c>
      <c r="G72" s="2" t="s">
        <v>93</v>
      </c>
      <c r="H72" s="2" t="s">
        <v>94</v>
      </c>
      <c r="I72" s="2" t="n">
        <v>1</v>
      </c>
      <c r="J72" s="2" t="s">
        <v>90</v>
      </c>
      <c r="K72" s="2" t="n">
        <v>49.3482650580808</v>
      </c>
      <c r="L72" s="2" t="n">
        <v>1.87</v>
      </c>
      <c r="M72" s="2" t="n">
        <v>4.58</v>
      </c>
      <c r="N72" s="2" t="n">
        <v>8</v>
      </c>
      <c r="O72" s="2" t="n">
        <v>0.1736</v>
      </c>
      <c r="P72" s="2" t="n">
        <v>14.5110832813785</v>
      </c>
      <c r="Q72" s="2" t="n">
        <v>20.3342851615027</v>
      </c>
      <c r="R72" s="2" t="n">
        <v>0.3614</v>
      </c>
      <c r="S72" s="2" t="n">
        <v>0</v>
      </c>
      <c r="T72" s="2" t="n">
        <v>0.3304</v>
      </c>
      <c r="U72" s="2" t="n">
        <v>99.5090335009621</v>
      </c>
      <c r="V72" s="2" t="n">
        <v>2.62620602595429</v>
      </c>
      <c r="W72" s="2" t="n">
        <v>1.87644356868269</v>
      </c>
      <c r="X72" s="2" t="n">
        <v>0.053493771362241</v>
      </c>
      <c r="Y72" s="2" t="n">
        <v>0.205250320671211</v>
      </c>
      <c r="Z72" s="2" t="n">
        <v>0.254402830902634</v>
      </c>
      <c r="AA72" s="2" t="n">
        <v>0.822572414976861</v>
      </c>
      <c r="AB72" s="2" t="n">
        <v>0.828450557998375</v>
      </c>
      <c r="AC72" s="2" t="n">
        <v>0.0266437920819532</v>
      </c>
      <c r="AD72" s="2" t="n">
        <v>0</v>
      </c>
      <c r="AE72" s="2" t="n">
        <v>0.00993247487007156</v>
      </c>
      <c r="AF72" s="2" t="n">
        <v>0.00559096940384139</v>
      </c>
      <c r="AG72" s="2" t="n">
        <v>0.431700050090003</v>
      </c>
      <c r="AH72" s="2" t="n">
        <v>0.13351494998382</v>
      </c>
      <c r="AI72" s="2" t="n">
        <v>0.434784999926177</v>
      </c>
      <c r="AJ72" s="2" t="n">
        <v>76.3780242975891</v>
      </c>
      <c r="AK72" s="2"/>
      <c r="AL72" s="2"/>
      <c r="AM72" s="2"/>
      <c r="AN72" s="2"/>
      <c r="AO72" s="2"/>
      <c r="AP72" s="2" t="n">
        <v>2.09663209758615</v>
      </c>
      <c r="AQ72" s="2" t="n">
        <v>1.53908248387193</v>
      </c>
      <c r="AR72" s="2" t="n">
        <v>2.66053237162446</v>
      </c>
      <c r="AS72" s="2" t="n">
        <v>1108.52587890625</v>
      </c>
      <c r="AT72" s="2" t="n">
        <v>1104.08716125488</v>
      </c>
      <c r="AU72" s="2" t="n">
        <v>1115.12631835938</v>
      </c>
      <c r="AV72" s="2" t="n">
        <v>7.23835404747849</v>
      </c>
      <c r="AW72" s="2" t="n">
        <v>5.33948622581283</v>
      </c>
      <c r="AX72" s="2" t="n">
        <v>9.13968926063046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customFormat="false" ht="15" hidden="false" customHeight="false" outlineLevel="0" collapsed="false">
      <c r="A73" s="2" t="s">
        <v>238</v>
      </c>
      <c r="B73" s="2" t="n">
        <v>2009</v>
      </c>
      <c r="C73" s="2" t="s">
        <v>187</v>
      </c>
      <c r="D73" s="2" t="s">
        <v>188</v>
      </c>
      <c r="E73" s="2" t="n">
        <v>211</v>
      </c>
      <c r="F73" s="2" t="s">
        <v>239</v>
      </c>
      <c r="G73" s="2" t="s">
        <v>93</v>
      </c>
      <c r="H73" s="2" t="s">
        <v>89</v>
      </c>
      <c r="I73" s="2" t="n">
        <v>1</v>
      </c>
      <c r="J73" s="2" t="s">
        <v>90</v>
      </c>
      <c r="K73" s="2" t="n">
        <v>49.2674325190831</v>
      </c>
      <c r="L73" s="2" t="n">
        <v>1.97</v>
      </c>
      <c r="M73" s="2" t="n">
        <v>4.61</v>
      </c>
      <c r="N73" s="2" t="n">
        <v>7.65</v>
      </c>
      <c r="O73" s="2" t="n">
        <v>0.1767</v>
      </c>
      <c r="P73" s="2" t="n">
        <v>14.9624538400978</v>
      </c>
      <c r="Q73" s="2" t="n">
        <v>20.4592713114316</v>
      </c>
      <c r="R73" s="2" t="n">
        <v>0.3431</v>
      </c>
      <c r="S73" s="2" t="n">
        <v>0</v>
      </c>
      <c r="T73" s="2" t="n">
        <v>0.4497</v>
      </c>
      <c r="U73" s="2" t="n">
        <v>99.8886576706125</v>
      </c>
      <c r="V73" s="2" t="n">
        <v>2.68439072008207</v>
      </c>
      <c r="W73" s="2" t="n">
        <v>1.83276429078175</v>
      </c>
      <c r="X73" s="2" t="n">
        <v>0.0551329081813113</v>
      </c>
      <c r="Y73" s="2" t="n">
        <v>0.202116773344027</v>
      </c>
      <c r="Z73" s="2" t="n">
        <v>0.237999723522768</v>
      </c>
      <c r="AA73" s="2" t="n">
        <v>0.8297747115876</v>
      </c>
      <c r="AB73" s="2" t="n">
        <v>0.815475488197714</v>
      </c>
      <c r="AC73" s="2" t="n">
        <v>0.0247463795954741</v>
      </c>
      <c r="AD73" s="2" t="n">
        <v>0</v>
      </c>
      <c r="AE73" s="2" t="n">
        <v>0.0132258437778856</v>
      </c>
      <c r="AF73" s="2" t="n">
        <v>0.00556745876313914</v>
      </c>
      <c r="AG73" s="2" t="n">
        <v>0.440607856300896</v>
      </c>
      <c r="AH73" s="2" t="n">
        <v>0.12637713166859</v>
      </c>
      <c r="AI73" s="2" t="n">
        <v>0.433015012030514</v>
      </c>
      <c r="AJ73" s="2" t="n">
        <v>77.7106741183434</v>
      </c>
      <c r="AK73" s="2" t="n">
        <v>0.167226724000462</v>
      </c>
      <c r="AL73" s="2" t="n">
        <v>0.0348920494070394</v>
      </c>
      <c r="AM73" s="2" t="n">
        <v>0.0247466644028467</v>
      </c>
      <c r="AN73" s="2" t="n">
        <v>0.0101453850041927</v>
      </c>
      <c r="AO73" s="2" t="n">
        <v>0.0785406694981346</v>
      </c>
      <c r="AP73" s="2" t="n">
        <v>1.99869631771739</v>
      </c>
      <c r="AQ73" s="2" t="n">
        <v>1.70085916166004</v>
      </c>
      <c r="AR73" s="2" t="n">
        <v>2.46239595060046</v>
      </c>
      <c r="AS73" s="2" t="n">
        <v>1115.38635253906</v>
      </c>
      <c r="AT73" s="2" t="n">
        <v>1111.95872192383</v>
      </c>
      <c r="AU73" s="2" t="n">
        <v>1118.69918823242</v>
      </c>
      <c r="AV73" s="2" t="n">
        <v>6.90617433825773</v>
      </c>
      <c r="AW73" s="2" t="n">
        <v>5.89239519328009</v>
      </c>
      <c r="AX73" s="2" t="n">
        <v>8.47381709004491</v>
      </c>
      <c r="AY73" s="2" t="n">
        <v>3.37130418526921</v>
      </c>
      <c r="AZ73" s="2" t="n">
        <v>0.166017923302255</v>
      </c>
      <c r="BA73" s="2" t="n">
        <v>2.88937554525848</v>
      </c>
      <c r="BB73" s="2" t="n">
        <v>3.82174102179748</v>
      </c>
      <c r="BC73" s="2" t="n">
        <v>1454.69711894519</v>
      </c>
      <c r="BD73" s="2" t="n">
        <v>1.53496714184459</v>
      </c>
      <c r="BE73" s="2" t="n">
        <v>3</v>
      </c>
      <c r="BF73" s="2" t="n">
        <v>3</v>
      </c>
      <c r="BG73" s="2" t="n">
        <v>11.5087879201267</v>
      </c>
      <c r="BH73" s="2" t="n">
        <v>0.582867289427412</v>
      </c>
      <c r="BI73" s="2" t="n">
        <v>9.90579620101569</v>
      </c>
      <c r="BJ73" s="2" t="n">
        <v>12.9943064140758</v>
      </c>
      <c r="BK73" s="2" t="n">
        <v>1.11136072784564</v>
      </c>
      <c r="BL73" s="2" t="n">
        <v>0.694090326269751</v>
      </c>
      <c r="BM73" s="2" t="n">
        <v>1.5407762085403</v>
      </c>
      <c r="BN73" s="2" t="n">
        <v>3000</v>
      </c>
      <c r="BO73" s="2" t="n">
        <v>1151.68927001953</v>
      </c>
      <c r="BP73" s="2" t="n">
        <v>1146.36950683594</v>
      </c>
      <c r="BQ73" s="2" t="n">
        <v>1154.98034057617</v>
      </c>
      <c r="BR73" s="2" t="n">
        <v>3000</v>
      </c>
      <c r="BS73" s="2" t="n">
        <v>3.87000896621034</v>
      </c>
      <c r="BT73" s="2" t="n">
        <v>2.42575480828687</v>
      </c>
      <c r="BU73" s="2" t="n">
        <v>5.34528313446529</v>
      </c>
      <c r="BV73" s="2" t="n">
        <v>48.29</v>
      </c>
      <c r="BW73" s="2" t="n">
        <v>3.69</v>
      </c>
      <c r="BX73" s="2" t="n">
        <v>13.65</v>
      </c>
      <c r="BY73" s="2" t="n">
        <v>12.67</v>
      </c>
      <c r="BZ73" s="2" t="n">
        <v>0.18</v>
      </c>
      <c r="CA73" s="2" t="n">
        <v>6.25</v>
      </c>
      <c r="CB73" s="2" t="n">
        <v>11.35</v>
      </c>
      <c r="CC73" s="2" t="n">
        <v>3.11</v>
      </c>
      <c r="CD73" s="2" t="n">
        <v>0.49</v>
      </c>
      <c r="CE73" s="2" t="n">
        <v>0.33</v>
      </c>
      <c r="CF73" s="2" t="n">
        <v>0.15</v>
      </c>
    </row>
    <row r="74" customFormat="false" ht="15" hidden="false" customHeight="false" outlineLevel="0" collapsed="false">
      <c r="A74" s="2" t="s">
        <v>240</v>
      </c>
      <c r="B74" s="2" t="n">
        <v>2009</v>
      </c>
      <c r="C74" s="2" t="s">
        <v>187</v>
      </c>
      <c r="D74" s="2" t="s">
        <v>188</v>
      </c>
      <c r="E74" s="2" t="n">
        <v>212</v>
      </c>
      <c r="F74" s="2" t="s">
        <v>241</v>
      </c>
      <c r="G74" s="2" t="s">
        <v>93</v>
      </c>
      <c r="H74" s="2" t="s">
        <v>89</v>
      </c>
      <c r="I74" s="2" t="n">
        <v>2</v>
      </c>
      <c r="J74" s="2" t="s">
        <v>163</v>
      </c>
      <c r="K74" s="2" t="n">
        <v>51.7328249585122</v>
      </c>
      <c r="L74" s="2" t="n">
        <v>1.0254</v>
      </c>
      <c r="M74" s="2" t="n">
        <v>2.86</v>
      </c>
      <c r="N74" s="2" t="n">
        <v>7.56</v>
      </c>
      <c r="O74" s="2" t="n">
        <v>0.1791</v>
      </c>
      <c r="P74" s="2" t="n">
        <v>16.8927832507908</v>
      </c>
      <c r="Q74" s="2" t="n">
        <v>18.7767654470047</v>
      </c>
      <c r="R74" s="2" t="n">
        <v>0.2484</v>
      </c>
      <c r="S74" s="2" t="n">
        <v>0.0048</v>
      </c>
      <c r="T74" s="2" t="n">
        <v>0.3005</v>
      </c>
      <c r="U74" s="2" t="n">
        <v>99.5805736563077</v>
      </c>
      <c r="V74" s="2" t="n">
        <v>2.70356047411331</v>
      </c>
      <c r="W74" s="2" t="n">
        <v>1.91083205842081</v>
      </c>
      <c r="X74" s="2" t="n">
        <v>0.0284936200428642</v>
      </c>
      <c r="Y74" s="2" t="n">
        <v>0.124502222600898</v>
      </c>
      <c r="Z74" s="2" t="n">
        <v>0.233532029324738</v>
      </c>
      <c r="AA74" s="2" t="n">
        <v>0.930182621741633</v>
      </c>
      <c r="AB74" s="2" t="n">
        <v>0.743106690436555</v>
      </c>
      <c r="AC74" s="2" t="n">
        <v>0.0177890265892156</v>
      </c>
      <c r="AD74" s="2" t="n">
        <v>0.000226182262763672</v>
      </c>
      <c r="AE74" s="2" t="n">
        <v>0.00877515138926499</v>
      </c>
      <c r="AF74" s="2" t="n">
        <v>0.00560306532279994</v>
      </c>
      <c r="AG74" s="2" t="n">
        <v>0.487818445019331</v>
      </c>
      <c r="AH74" s="2" t="n">
        <v>0.122471898253809</v>
      </c>
      <c r="AI74" s="2" t="n">
        <v>0.38970965672686</v>
      </c>
      <c r="AJ74" s="2" t="n">
        <v>79.9321913571561</v>
      </c>
      <c r="AK74" s="2" t="n">
        <v>0.0891611662206722</v>
      </c>
      <c r="AL74" s="2" t="n">
        <v>0.0353421194786791</v>
      </c>
      <c r="AM74" s="2" t="n">
        <v>0.0177892071879864</v>
      </c>
      <c r="AN74" s="2" t="n">
        <v>0.0175529122906927</v>
      </c>
      <c r="AO74" s="2" t="n">
        <v>0.0358041269649897</v>
      </c>
      <c r="AP74" s="2" t="n">
        <v>0.0491081616869162</v>
      </c>
      <c r="AQ74" s="2" t="n">
        <v>0</v>
      </c>
      <c r="AR74" s="2" t="n">
        <v>0.386077978371639</v>
      </c>
      <c r="AS74" s="2" t="n">
        <v>1139.4208984375</v>
      </c>
      <c r="AT74" s="2" t="n">
        <v>1117.07696228027</v>
      </c>
      <c r="AU74" s="2" t="n">
        <v>1144.80507202148</v>
      </c>
      <c r="AV74" s="2" t="n">
        <v>0.172586313845237</v>
      </c>
      <c r="AW74" s="2" t="n">
        <v>0</v>
      </c>
      <c r="AX74" s="2" t="n">
        <v>1.35289516113372</v>
      </c>
      <c r="AY74" s="2" t="n">
        <v>2.04750223457776</v>
      </c>
      <c r="AZ74" s="2" t="n">
        <v>0.162090863196328</v>
      </c>
      <c r="BA74" s="2" t="n">
        <v>1.42867773957393</v>
      </c>
      <c r="BB74" s="2" t="n">
        <v>2.64486809269188</v>
      </c>
      <c r="BC74" s="2" t="n">
        <v>1459.20450305513</v>
      </c>
      <c r="BD74" s="2" t="n">
        <v>3.33705083132581</v>
      </c>
      <c r="BE74" s="2" t="n">
        <v>73</v>
      </c>
      <c r="BF74" s="2" t="n">
        <v>73</v>
      </c>
      <c r="BG74" s="2" t="n">
        <v>7.07178746491375</v>
      </c>
      <c r="BH74" s="2" t="n">
        <v>0.569099180439637</v>
      </c>
      <c r="BI74" s="2" t="n">
        <v>4.9612421260363</v>
      </c>
      <c r="BJ74" s="2" t="n">
        <v>9.08713331209486</v>
      </c>
      <c r="BK74" s="2" t="n">
        <v>0.128898763627383</v>
      </c>
      <c r="BL74" s="2" t="n">
        <v>0</v>
      </c>
      <c r="BM74" s="2" t="n">
        <v>0.613181757865231</v>
      </c>
      <c r="BN74" s="2" t="n">
        <v>73000</v>
      </c>
      <c r="BO74" s="2" t="n">
        <v>1163.33728027344</v>
      </c>
      <c r="BP74" s="2" t="n">
        <v>1155.3212677002</v>
      </c>
      <c r="BQ74" s="2" t="n">
        <v>1166.56433105469</v>
      </c>
      <c r="BR74" s="2" t="n">
        <v>73000</v>
      </c>
      <c r="BS74" s="2" t="n">
        <v>0.452691731832195</v>
      </c>
      <c r="BT74" s="2" t="n">
        <v>0</v>
      </c>
      <c r="BU74" s="2" t="n">
        <v>2.14449318887255</v>
      </c>
      <c r="BV74" s="2" t="n">
        <v>48.77</v>
      </c>
      <c r="BW74" s="2" t="n">
        <v>3.43</v>
      </c>
      <c r="BX74" s="2" t="n">
        <v>13.84</v>
      </c>
      <c r="BY74" s="2" t="n">
        <v>11.98</v>
      </c>
      <c r="BZ74" s="2" t="n">
        <v>0.17</v>
      </c>
      <c r="CA74" s="2" t="n">
        <v>6.53</v>
      </c>
      <c r="CB74" s="2" t="n">
        <v>11.6</v>
      </c>
      <c r="CC74" s="2" t="n">
        <v>2.96</v>
      </c>
      <c r="CD74" s="2" t="n">
        <v>0.45</v>
      </c>
      <c r="CE74" s="2" t="n">
        <v>0.27</v>
      </c>
      <c r="CF74" s="2" t="n">
        <v>0.15</v>
      </c>
    </row>
    <row r="75" customFormat="false" ht="15" hidden="false" customHeight="false" outlineLevel="0" collapsed="false">
      <c r="A75" s="2" t="s">
        <v>242</v>
      </c>
      <c r="B75" s="2" t="n">
        <v>2009</v>
      </c>
      <c r="C75" s="2" t="s">
        <v>187</v>
      </c>
      <c r="D75" s="2" t="s">
        <v>188</v>
      </c>
      <c r="E75" s="2" t="n">
        <v>213</v>
      </c>
      <c r="F75" s="2" t="s">
        <v>243</v>
      </c>
      <c r="G75" s="2" t="s">
        <v>93</v>
      </c>
      <c r="H75" s="2" t="s">
        <v>94</v>
      </c>
      <c r="I75" s="2" t="n">
        <v>2</v>
      </c>
      <c r="J75" s="2" t="s">
        <v>163</v>
      </c>
      <c r="K75" s="2" t="n">
        <v>48.752125082973</v>
      </c>
      <c r="L75" s="2" t="n">
        <v>2.11</v>
      </c>
      <c r="M75" s="2" t="n">
        <v>4.96</v>
      </c>
      <c r="N75" s="2" t="n">
        <v>7.51</v>
      </c>
      <c r="O75" s="2" t="n">
        <v>0.152</v>
      </c>
      <c r="P75" s="2" t="n">
        <v>14.4342542501072</v>
      </c>
      <c r="Q75" s="2" t="n">
        <v>20.7573152074158</v>
      </c>
      <c r="R75" s="2" t="n">
        <v>0.3625</v>
      </c>
      <c r="S75" s="2" t="n">
        <v>0</v>
      </c>
      <c r="T75" s="2" t="n">
        <v>0.5339</v>
      </c>
      <c r="U75" s="2" t="n">
        <v>99.5720945404959</v>
      </c>
      <c r="V75" s="2" t="n">
        <v>2.67292933774298</v>
      </c>
      <c r="W75" s="2" t="n">
        <v>1.82137128883257</v>
      </c>
      <c r="X75" s="2" t="n">
        <v>0.0593041904256299</v>
      </c>
      <c r="Y75" s="2" t="n">
        <v>0.218394329790055</v>
      </c>
      <c r="Z75" s="2" t="n">
        <v>0.234646027120316</v>
      </c>
      <c r="AA75" s="2" t="n">
        <v>0.803914706024153</v>
      </c>
      <c r="AB75" s="2" t="n">
        <v>0.830902720928585</v>
      </c>
      <c r="AC75" s="2" t="n">
        <v>0.0262577321785041</v>
      </c>
      <c r="AD75" s="2" t="n">
        <v>0</v>
      </c>
      <c r="AE75" s="2" t="n">
        <v>0.0157695272108863</v>
      </c>
      <c r="AF75" s="2" t="n">
        <v>0.00480974773118058</v>
      </c>
      <c r="AG75" s="2" t="n">
        <v>0.430024296154408</v>
      </c>
      <c r="AH75" s="2" t="n">
        <v>0.125515172072011</v>
      </c>
      <c r="AI75" s="2" t="n">
        <v>0.444460531773581</v>
      </c>
      <c r="AJ75" s="2" t="n">
        <v>77.4066147860343</v>
      </c>
      <c r="AK75" s="2" t="n">
        <v>0.178619443688318</v>
      </c>
      <c r="AL75" s="2" t="n">
        <v>0.0397770877836692</v>
      </c>
      <c r="AM75" s="2" t="n">
        <v>0.0262580392545826</v>
      </c>
      <c r="AN75" s="2" t="n">
        <v>0.0135190485290865</v>
      </c>
      <c r="AO75" s="2" t="n">
        <v>0.0825501975796155</v>
      </c>
      <c r="AP75" s="2" t="n">
        <v>1.50964086037188</v>
      </c>
      <c r="AQ75" s="2" t="n">
        <v>1.21506475787668</v>
      </c>
      <c r="AR75" s="2" t="n">
        <v>1.99731900077372</v>
      </c>
      <c r="AS75" s="2" t="n">
        <v>1114.41430664063</v>
      </c>
      <c r="AT75" s="2" t="n">
        <v>1110.73638000488</v>
      </c>
      <c r="AU75" s="2" t="n">
        <v>1118.02987060547</v>
      </c>
      <c r="AV75" s="2" t="n">
        <v>5.23869213050416</v>
      </c>
      <c r="AW75" s="2" t="n">
        <v>4.22731179653387</v>
      </c>
      <c r="AX75" s="2" t="n">
        <v>6.90149859413751</v>
      </c>
      <c r="AY75" s="2" t="n">
        <v>3.65858729414416</v>
      </c>
      <c r="AZ75" s="2" t="n">
        <v>0.166239692614725</v>
      </c>
      <c r="BA75" s="2" t="n">
        <v>3.24728397593086</v>
      </c>
      <c r="BB75" s="2" t="n">
        <v>4.02743054144221</v>
      </c>
      <c r="BC75" s="2" t="n">
        <v>1453.65534852812</v>
      </c>
      <c r="BD75" s="2" t="n">
        <v>1.53436115920615</v>
      </c>
      <c r="BE75" s="2" t="n">
        <v>3</v>
      </c>
      <c r="BF75" s="2" t="n">
        <v>3</v>
      </c>
      <c r="BG75" s="2" t="n">
        <v>12.4576536595186</v>
      </c>
      <c r="BH75" s="2" t="n">
        <v>0.583644775511473</v>
      </c>
      <c r="BI75" s="2" t="n">
        <v>11.0976166783991</v>
      </c>
      <c r="BJ75" s="2" t="n">
        <v>13.6685710786426</v>
      </c>
      <c r="BK75" s="2" t="n">
        <v>1.17803171064958</v>
      </c>
      <c r="BL75" s="2" t="n">
        <v>0.85279412074609</v>
      </c>
      <c r="BM75" s="2" t="n">
        <v>1.93209551625449</v>
      </c>
      <c r="BN75" s="2" t="n">
        <v>3000</v>
      </c>
      <c r="BO75" s="2" t="n">
        <v>1151.85144042969</v>
      </c>
      <c r="BP75" s="2" t="n">
        <v>1144.14362487793</v>
      </c>
      <c r="BQ75" s="2" t="n">
        <v>1155.068359375</v>
      </c>
      <c r="BR75" s="2" t="n">
        <v>3000</v>
      </c>
      <c r="BS75" s="2" t="n">
        <v>4.09979260252059</v>
      </c>
      <c r="BT75" s="2" t="n">
        <v>2.97630293741609</v>
      </c>
      <c r="BU75" s="2" t="n">
        <v>6.67994493515605</v>
      </c>
      <c r="BV75" s="2" t="n">
        <v>48.29</v>
      </c>
      <c r="BW75" s="2" t="n">
        <v>3.69</v>
      </c>
      <c r="BX75" s="2" t="n">
        <v>13.65</v>
      </c>
      <c r="BY75" s="2" t="n">
        <v>12.67</v>
      </c>
      <c r="BZ75" s="2" t="n">
        <v>0.18</v>
      </c>
      <c r="CA75" s="2" t="n">
        <v>6.25</v>
      </c>
      <c r="CB75" s="2" t="n">
        <v>11.35</v>
      </c>
      <c r="CC75" s="2" t="n">
        <v>3.11</v>
      </c>
      <c r="CD75" s="2" t="n">
        <v>0.49</v>
      </c>
      <c r="CE75" s="2" t="n">
        <v>0.33</v>
      </c>
      <c r="CF75" s="2" t="n">
        <v>0.15</v>
      </c>
    </row>
    <row r="76" customFormat="false" ht="15" hidden="false" customHeight="false" outlineLevel="0" collapsed="false">
      <c r="A76" s="2" t="s">
        <v>244</v>
      </c>
      <c r="B76" s="2" t="n">
        <v>2009</v>
      </c>
      <c r="C76" s="2" t="s">
        <v>187</v>
      </c>
      <c r="D76" s="2" t="s">
        <v>188</v>
      </c>
      <c r="E76" s="2" t="n">
        <v>215</v>
      </c>
      <c r="F76" s="2" t="s">
        <v>245</v>
      </c>
      <c r="G76" s="2" t="s">
        <v>93</v>
      </c>
      <c r="H76" s="2" t="s">
        <v>108</v>
      </c>
      <c r="I76" s="2" t="n">
        <v>2</v>
      </c>
      <c r="J76" s="2" t="s">
        <v>163</v>
      </c>
      <c r="K76" s="2" t="n">
        <v>48.3378583206099</v>
      </c>
      <c r="L76" s="2" t="n">
        <v>2.29</v>
      </c>
      <c r="M76" s="2" t="n">
        <v>5.44</v>
      </c>
      <c r="N76" s="2" t="n">
        <v>8.11</v>
      </c>
      <c r="O76" s="2" t="n">
        <v>0.1566</v>
      </c>
      <c r="P76" s="2" t="n">
        <v>14.4342542501072</v>
      </c>
      <c r="Q76" s="2" t="n">
        <v>20.1516130962221</v>
      </c>
      <c r="R76" s="2" t="n">
        <v>0.3782</v>
      </c>
      <c r="S76" s="2" t="n">
        <v>0</v>
      </c>
      <c r="T76" s="2" t="n">
        <v>0.4417</v>
      </c>
      <c r="U76" s="2" t="n">
        <v>99.7402256669391</v>
      </c>
      <c r="V76" s="2" t="n">
        <v>2.61647218602551</v>
      </c>
      <c r="W76" s="2" t="n">
        <v>1.84486119082479</v>
      </c>
      <c r="X76" s="2" t="n">
        <v>0.0657521206078678</v>
      </c>
      <c r="Y76" s="2" t="n">
        <v>0.244697728071287</v>
      </c>
      <c r="Z76" s="2" t="n">
        <v>0.258860316596291</v>
      </c>
      <c r="AA76" s="2" t="n">
        <v>0.821261244148396</v>
      </c>
      <c r="AB76" s="2" t="n">
        <v>0.824062539895945</v>
      </c>
      <c r="AC76" s="2" t="n">
        <v>0.0279860807770625</v>
      </c>
      <c r="AD76" s="2" t="n">
        <v>0</v>
      </c>
      <c r="AE76" s="2" t="n">
        <v>0.0133277705285275</v>
      </c>
      <c r="AF76" s="2" t="n">
        <v>0.00506222942153368</v>
      </c>
      <c r="AG76" s="2" t="n">
        <v>0.431292984681521</v>
      </c>
      <c r="AH76" s="2" t="n">
        <v>0.135942904107435</v>
      </c>
      <c r="AI76" s="2" t="n">
        <v>0.432764111211044</v>
      </c>
      <c r="AJ76" s="2" t="n">
        <v>76.034149673133</v>
      </c>
      <c r="AK76" s="2"/>
      <c r="AL76" s="2"/>
      <c r="AM76" s="2"/>
      <c r="AN76" s="2"/>
      <c r="AO76" s="2"/>
      <c r="AP76" s="2" t="n">
        <v>1.5341457490937</v>
      </c>
      <c r="AQ76" s="2" t="n">
        <v>1.27396917987029</v>
      </c>
      <c r="AR76" s="2" t="n">
        <v>2.34988188791434</v>
      </c>
      <c r="AS76" s="2" t="n">
        <v>1122.63500976563</v>
      </c>
      <c r="AT76" s="2" t="n">
        <v>1119.71739196777</v>
      </c>
      <c r="AU76" s="2" t="n">
        <v>1129.9783996582</v>
      </c>
      <c r="AV76" s="2" t="n">
        <v>5.32258886290082</v>
      </c>
      <c r="AW76" s="2" t="n">
        <v>4.4299714161268</v>
      </c>
      <c r="AX76" s="2" t="n">
        <v>8.09463479963746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customFormat="false" ht="15" hidden="false" customHeight="false" outlineLevel="0" collapsed="false">
      <c r="A77" s="2" t="s">
        <v>246</v>
      </c>
      <c r="B77" s="2" t="n">
        <v>2009</v>
      </c>
      <c r="C77" s="2" t="s">
        <v>187</v>
      </c>
      <c r="D77" s="2" t="s">
        <v>188</v>
      </c>
      <c r="E77" s="2" t="n">
        <v>216</v>
      </c>
      <c r="F77" s="2" t="s">
        <v>247</v>
      </c>
      <c r="G77" s="2" t="s">
        <v>93</v>
      </c>
      <c r="H77" s="2" t="s">
        <v>108</v>
      </c>
      <c r="I77" s="2" t="n">
        <v>2</v>
      </c>
      <c r="J77" s="2" t="s">
        <v>163</v>
      </c>
      <c r="K77" s="2" t="n">
        <v>52.4805259442407</v>
      </c>
      <c r="L77" s="2" t="n">
        <v>0.9433</v>
      </c>
      <c r="M77" s="2" t="n">
        <v>2.09</v>
      </c>
      <c r="N77" s="2" t="n">
        <v>7.45</v>
      </c>
      <c r="O77" s="2" t="n">
        <v>0.2098</v>
      </c>
      <c r="P77" s="2" t="n">
        <v>17.1232703446048</v>
      </c>
      <c r="Q77" s="2" t="n">
        <v>19.1132666198901</v>
      </c>
      <c r="R77" s="2" t="n">
        <v>0.2356</v>
      </c>
      <c r="S77" s="2" t="n">
        <v>0</v>
      </c>
      <c r="T77" s="2" t="n">
        <v>0.2055</v>
      </c>
      <c r="U77" s="2" t="n">
        <v>99.8512629087356</v>
      </c>
      <c r="V77" s="2" t="n">
        <v>2.71222587362418</v>
      </c>
      <c r="W77" s="2" t="n">
        <v>1.93225632258702</v>
      </c>
      <c r="X77" s="2" t="n">
        <v>0.026128494325949</v>
      </c>
      <c r="Y77" s="2" t="n">
        <v>0.0906917101316277</v>
      </c>
      <c r="Z77" s="2" t="n">
        <v>0.229398811901615</v>
      </c>
      <c r="AA77" s="2" t="n">
        <v>0.939861714800549</v>
      </c>
      <c r="AB77" s="2" t="n">
        <v>0.754007285135344</v>
      </c>
      <c r="AC77" s="2" t="n">
        <v>0.0168184555859042</v>
      </c>
      <c r="AD77" s="2" t="n">
        <v>0</v>
      </c>
      <c r="AE77" s="2" t="n">
        <v>0.00598180431022168</v>
      </c>
      <c r="AF77" s="2" t="n">
        <v>0.00654253142760817</v>
      </c>
      <c r="AG77" s="2" t="n">
        <v>0.488679584307396</v>
      </c>
      <c r="AH77" s="2" t="n">
        <v>0.119275542641378</v>
      </c>
      <c r="AI77" s="2" t="n">
        <v>0.392044873051226</v>
      </c>
      <c r="AJ77" s="2" t="n">
        <v>80.3808640877819</v>
      </c>
      <c r="AK77" s="2" t="n">
        <v>0.0677370260444821</v>
      </c>
      <c r="AL77" s="2" t="n">
        <v>0.0229554490996169</v>
      </c>
      <c r="AM77" s="2" t="n">
        <v>0.0168186245907554</v>
      </c>
      <c r="AN77" s="2" t="n">
        <v>0.00613682450886148</v>
      </c>
      <c r="AO77" s="2" t="n">
        <v>0.0308001007678103</v>
      </c>
      <c r="AP77" s="2" t="n">
        <v>0</v>
      </c>
      <c r="AQ77" s="2" t="n">
        <v>0</v>
      </c>
      <c r="AR77" s="2" t="n">
        <v>0.112859934139609</v>
      </c>
      <c r="AS77" s="2" t="n">
        <v>1125.92150878906</v>
      </c>
      <c r="AT77" s="2" t="n">
        <v>1104.80319824219</v>
      </c>
      <c r="AU77" s="2" t="n">
        <v>1133.64363098145</v>
      </c>
      <c r="AV77" s="2" t="n">
        <v>0</v>
      </c>
      <c r="AW77" s="2" t="n">
        <v>0</v>
      </c>
      <c r="AX77" s="2" t="n">
        <v>0.396418300290012</v>
      </c>
      <c r="AY77" s="2" t="n">
        <v>1.43297987749309</v>
      </c>
      <c r="AZ77" s="2" t="n">
        <v>0.272269516010425</v>
      </c>
      <c r="BA77" s="2" t="n">
        <v>0.724867716182051</v>
      </c>
      <c r="BB77" s="2" t="n">
        <v>2.06476557617774</v>
      </c>
      <c r="BC77" s="2" t="n">
        <v>1449.68374452996</v>
      </c>
      <c r="BD77" s="2" t="n">
        <v>4.94028477897845</v>
      </c>
      <c r="BE77" s="2" t="n">
        <v>11</v>
      </c>
      <c r="BF77" s="2" t="n">
        <v>11</v>
      </c>
      <c r="BG77" s="2" t="n">
        <v>4.97599498200014</v>
      </c>
      <c r="BH77" s="2" t="n">
        <v>0.955026231453793</v>
      </c>
      <c r="BI77" s="2" t="n">
        <v>2.5326417771838</v>
      </c>
      <c r="BJ77" s="2" t="n">
        <v>7.1303326056809</v>
      </c>
      <c r="BK77" s="2" t="n">
        <v>0</v>
      </c>
      <c r="BL77" s="2" t="n">
        <v>0</v>
      </c>
      <c r="BM77" s="2" t="n">
        <v>0.0584086637801374</v>
      </c>
      <c r="BN77" s="2" t="n">
        <v>11000</v>
      </c>
      <c r="BO77" s="2" t="n">
        <v>1161.89215087891</v>
      </c>
      <c r="BP77" s="2" t="n">
        <v>1152.44350585938</v>
      </c>
      <c r="BQ77" s="2" t="n">
        <v>1164.3271270752</v>
      </c>
      <c r="BR77" s="2" t="n">
        <v>11000</v>
      </c>
      <c r="BS77" s="2" t="n">
        <v>0</v>
      </c>
      <c r="BT77" s="2" t="n">
        <v>0</v>
      </c>
      <c r="BU77" s="2" t="n">
        <v>0.205255650352846</v>
      </c>
      <c r="BV77" s="2" t="n">
        <v>48.9</v>
      </c>
      <c r="BW77" s="2" t="n">
        <v>3.55</v>
      </c>
      <c r="BX77" s="2" t="n">
        <v>13.68</v>
      </c>
      <c r="BY77" s="2" t="n">
        <v>11.89</v>
      </c>
      <c r="BZ77" s="2" t="n">
        <v>0.18</v>
      </c>
      <c r="CA77" s="2" t="n">
        <v>6.48</v>
      </c>
      <c r="CB77" s="2" t="n">
        <v>11.49</v>
      </c>
      <c r="CC77" s="2" t="n">
        <v>3.04</v>
      </c>
      <c r="CD77" s="2" t="n">
        <v>0.46</v>
      </c>
      <c r="CE77" s="2" t="n">
        <v>0.34</v>
      </c>
      <c r="CF77" s="2" t="n">
        <v>0.15</v>
      </c>
    </row>
    <row r="78" customFormat="false" ht="15" hidden="false" customHeight="false" outlineLevel="0" collapsed="false">
      <c r="A78" s="2" t="s">
        <v>248</v>
      </c>
      <c r="B78" s="2" t="n">
        <v>2009</v>
      </c>
      <c r="C78" s="2" t="s">
        <v>187</v>
      </c>
      <c r="D78" s="2" t="s">
        <v>188</v>
      </c>
      <c r="E78" s="2" t="n">
        <v>217</v>
      </c>
      <c r="F78" s="2" t="s">
        <v>249</v>
      </c>
      <c r="G78" s="2" t="s">
        <v>88</v>
      </c>
      <c r="H78" s="2" t="s">
        <v>108</v>
      </c>
      <c r="I78" s="2" t="n">
        <v>2</v>
      </c>
      <c r="J78" s="2" t="s">
        <v>163</v>
      </c>
      <c r="K78" s="2" t="n">
        <v>52.2582364619971</v>
      </c>
      <c r="L78" s="2" t="n">
        <v>0.8725</v>
      </c>
      <c r="M78" s="2" t="n">
        <v>2.21</v>
      </c>
      <c r="N78" s="2" t="n">
        <v>7.11</v>
      </c>
      <c r="O78" s="2" t="n">
        <v>0.1864</v>
      </c>
      <c r="P78" s="2" t="n">
        <v>17.469000985326</v>
      </c>
      <c r="Q78" s="2" t="n">
        <v>18.9786661507359</v>
      </c>
      <c r="R78" s="2" t="n">
        <v>0.2482</v>
      </c>
      <c r="S78" s="2" t="n">
        <v>0</v>
      </c>
      <c r="T78" s="2" t="n">
        <v>0.4656</v>
      </c>
      <c r="U78" s="2" t="n">
        <v>99.798603598059</v>
      </c>
      <c r="V78" s="2" t="n">
        <v>2.6911873873226</v>
      </c>
      <c r="W78" s="2" t="n">
        <v>1.93911347309841</v>
      </c>
      <c r="X78" s="2" t="n">
        <v>0.0243563328833865</v>
      </c>
      <c r="Y78" s="2" t="n">
        <v>0.0966485838239576</v>
      </c>
      <c r="Z78" s="2" t="n">
        <v>0.220641097047002</v>
      </c>
      <c r="AA78" s="2" t="n">
        <v>0.966333934513835</v>
      </c>
      <c r="AB78" s="2" t="n">
        <v>0.754550352263924</v>
      </c>
      <c r="AC78" s="2" t="n">
        <v>0.0178564252317483</v>
      </c>
      <c r="AD78" s="2" t="n">
        <v>0</v>
      </c>
      <c r="AE78" s="2" t="n">
        <v>0.0136588854455416</v>
      </c>
      <c r="AF78" s="2" t="n">
        <v>0.0058582534582901</v>
      </c>
      <c r="AG78" s="2" t="n">
        <v>0.497718928922876</v>
      </c>
      <c r="AH78" s="2" t="n">
        <v>0.11364316886362</v>
      </c>
      <c r="AI78" s="2" t="n">
        <v>0.388637902213504</v>
      </c>
      <c r="AJ78" s="2" t="n">
        <v>81.4114795020696</v>
      </c>
      <c r="AK78" s="2"/>
      <c r="AL78" s="2"/>
      <c r="AM78" s="2"/>
      <c r="AN78" s="2"/>
      <c r="AO78" s="2"/>
      <c r="AP78" s="2" t="n">
        <v>0</v>
      </c>
      <c r="AQ78" s="2" t="n">
        <v>0</v>
      </c>
      <c r="AR78" s="2" t="n">
        <v>0.434743405593842</v>
      </c>
      <c r="AS78" s="2" t="n">
        <v>1129.44360351563</v>
      </c>
      <c r="AT78" s="2" t="n">
        <v>1100.63038635254</v>
      </c>
      <c r="AU78" s="2" t="n">
        <v>1140.03324584961</v>
      </c>
      <c r="AV78" s="2" t="n">
        <v>0</v>
      </c>
      <c r="AW78" s="2" t="n">
        <v>0</v>
      </c>
      <c r="AX78" s="2" t="n">
        <v>1.52278758431756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customFormat="false" ht="15" hidden="false" customHeight="false" outlineLevel="0" collapsed="false">
      <c r="A79" s="2" t="s">
        <v>250</v>
      </c>
      <c r="B79" s="2" t="n">
        <v>2009</v>
      </c>
      <c r="C79" s="2" t="s">
        <v>187</v>
      </c>
      <c r="D79" s="2" t="s">
        <v>188</v>
      </c>
      <c r="E79" s="2" t="n">
        <v>218</v>
      </c>
      <c r="F79" s="2" t="s">
        <v>251</v>
      </c>
      <c r="G79" s="2" t="s">
        <v>97</v>
      </c>
      <c r="H79" s="2" t="s">
        <v>108</v>
      </c>
      <c r="I79" s="2" t="n">
        <v>2</v>
      </c>
      <c r="J79" s="2" t="s">
        <v>163</v>
      </c>
      <c r="K79" s="2" t="n">
        <v>48.8935820262189</v>
      </c>
      <c r="L79" s="2" t="n">
        <v>2.5</v>
      </c>
      <c r="M79" s="2" t="n">
        <v>4.37</v>
      </c>
      <c r="N79" s="2" t="n">
        <v>10.08</v>
      </c>
      <c r="O79" s="2" t="n">
        <v>0.2129</v>
      </c>
      <c r="P79" s="2" t="n">
        <v>13.8868474022987</v>
      </c>
      <c r="Q79" s="2" t="n">
        <v>19.3247816428466</v>
      </c>
      <c r="R79" s="2" t="n">
        <v>0.371</v>
      </c>
      <c r="S79" s="2" t="n">
        <v>0</v>
      </c>
      <c r="T79" s="2" t="n">
        <v>0.12</v>
      </c>
      <c r="U79" s="2" t="n">
        <v>99.7591110713642</v>
      </c>
      <c r="V79" s="2" t="n">
        <v>2.59690979038428</v>
      </c>
      <c r="W79" s="2" t="n">
        <v>1.88012794628502</v>
      </c>
      <c r="X79" s="2" t="n">
        <v>0.0723225198111176</v>
      </c>
      <c r="Y79" s="2" t="n">
        <v>0.198048580103635</v>
      </c>
      <c r="Z79" s="2" t="n">
        <v>0.324163725291053</v>
      </c>
      <c r="AA79" s="2" t="n">
        <v>0.796067510741015</v>
      </c>
      <c r="AB79" s="2" t="n">
        <v>0.796203734639247</v>
      </c>
      <c r="AC79" s="2" t="n">
        <v>0.0276600988065391</v>
      </c>
      <c r="AD79" s="2" t="n">
        <v>0</v>
      </c>
      <c r="AE79" s="2" t="n">
        <v>0.00364813257276231</v>
      </c>
      <c r="AF79" s="2" t="n">
        <v>0.00693401834077942</v>
      </c>
      <c r="AG79" s="2" t="n">
        <v>0.41538978516039</v>
      </c>
      <c r="AH79" s="2" t="n">
        <v>0.169149347748283</v>
      </c>
      <c r="AI79" s="2" t="n">
        <v>0.415460867091327</v>
      </c>
      <c r="AJ79" s="2" t="n">
        <v>71.0627846408513</v>
      </c>
      <c r="AK79" s="2"/>
      <c r="AL79" s="2"/>
      <c r="AM79" s="2"/>
      <c r="AN79" s="2"/>
      <c r="AO79" s="2"/>
      <c r="AP79" s="2" t="n">
        <v>2.29642076566452</v>
      </c>
      <c r="AQ79" s="2" t="n">
        <v>2.1221816487574</v>
      </c>
      <c r="AR79" s="2" t="n">
        <v>2.55361662581199</v>
      </c>
      <c r="AS79" s="2" t="n">
        <v>1105.02612304688</v>
      </c>
      <c r="AT79" s="2" t="n">
        <v>1100.8009765625</v>
      </c>
      <c r="AU79" s="2" t="n">
        <v>1108.18413085938</v>
      </c>
      <c r="AV79" s="2" t="n">
        <v>7.91419725551072</v>
      </c>
      <c r="AW79" s="2" t="n">
        <v>7.32491771387136</v>
      </c>
      <c r="AX79" s="2" t="n">
        <v>8.78067567118219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customFormat="false" ht="15" hidden="false" customHeight="false" outlineLevel="0" collapsed="false">
      <c r="A80" s="2" t="s">
        <v>252</v>
      </c>
      <c r="B80" s="2" t="n">
        <v>2009</v>
      </c>
      <c r="C80" s="2" t="s">
        <v>187</v>
      </c>
      <c r="D80" s="2" t="s">
        <v>188</v>
      </c>
      <c r="E80" s="2" t="n">
        <v>219</v>
      </c>
      <c r="F80" s="2" t="s">
        <v>253</v>
      </c>
      <c r="G80" s="2" t="s">
        <v>93</v>
      </c>
      <c r="H80" s="2" t="s">
        <v>108</v>
      </c>
      <c r="I80" s="2" t="n">
        <v>3</v>
      </c>
      <c r="J80" s="2" t="s">
        <v>90</v>
      </c>
      <c r="K80" s="2" t="n">
        <v>49.5301382708256</v>
      </c>
      <c r="L80" s="2" t="n">
        <v>1.67</v>
      </c>
      <c r="M80" s="2" t="n">
        <v>4.61</v>
      </c>
      <c r="N80" s="2" t="n">
        <v>7.62</v>
      </c>
      <c r="O80" s="2" t="n">
        <v>0.1616</v>
      </c>
      <c r="P80" s="2" t="n">
        <v>14.9624538400978</v>
      </c>
      <c r="Q80" s="2" t="n">
        <v>20.2381419692498</v>
      </c>
      <c r="R80" s="2" t="n">
        <v>0.3348</v>
      </c>
      <c r="S80" s="2" t="n">
        <v>0</v>
      </c>
      <c r="T80" s="2" t="n">
        <v>0.4935</v>
      </c>
      <c r="U80" s="2" t="n">
        <v>99.6206340801731</v>
      </c>
      <c r="V80" s="2" t="n">
        <v>2.68177948625436</v>
      </c>
      <c r="W80" s="2" t="n">
        <v>1.84433109709847</v>
      </c>
      <c r="X80" s="2" t="n">
        <v>0.0467825414298881</v>
      </c>
      <c r="Y80" s="2" t="n">
        <v>0.20231357332643</v>
      </c>
      <c r="Z80" s="2" t="n">
        <v>0.237297221505406</v>
      </c>
      <c r="AA80" s="2" t="n">
        <v>0.830582658627013</v>
      </c>
      <c r="AB80" s="2" t="n">
        <v>0.807447050329951</v>
      </c>
      <c r="AC80" s="2" t="n">
        <v>0.0241712475451454</v>
      </c>
      <c r="AD80" s="2" t="n">
        <v>0</v>
      </c>
      <c r="AE80" s="2" t="n">
        <v>0.0145281502406971</v>
      </c>
      <c r="AF80" s="2" t="n">
        <v>0.0050966461252382</v>
      </c>
      <c r="AG80" s="2" t="n">
        <v>0.442900192566546</v>
      </c>
      <c r="AH80" s="2" t="n">
        <v>0.126536454871311</v>
      </c>
      <c r="AI80" s="2" t="n">
        <v>0.430563352562143</v>
      </c>
      <c r="AJ80" s="2" t="n">
        <v>77.7786597612476</v>
      </c>
      <c r="AK80" s="2" t="n">
        <v>0.155660726793409</v>
      </c>
      <c r="AL80" s="2" t="n">
        <v>0.0466547535678832</v>
      </c>
      <c r="AM80" s="2" t="n">
        <v>0.024171514386088</v>
      </c>
      <c r="AN80" s="2" t="n">
        <v>0.0224832391817952</v>
      </c>
      <c r="AO80" s="2" t="n">
        <v>0.066588743805807</v>
      </c>
      <c r="AP80" s="2" t="n">
        <v>2.19357120522465</v>
      </c>
      <c r="AQ80" s="2" t="n">
        <v>1.89039841422047</v>
      </c>
      <c r="AR80" s="2" t="n">
        <v>2.67959082254375</v>
      </c>
      <c r="AS80" s="2" t="n">
        <v>1113.81201171875</v>
      </c>
      <c r="AT80" s="2" t="n">
        <v>1107.74410705566</v>
      </c>
      <c r="AU80" s="2" t="n">
        <v>1117.01860961914</v>
      </c>
      <c r="AV80" s="2" t="n">
        <v>7.5665808350879</v>
      </c>
      <c r="AW80" s="2" t="n">
        <v>6.53817151777378</v>
      </c>
      <c r="AX80" s="2" t="n">
        <v>9.20361310160089</v>
      </c>
      <c r="AY80" s="2" t="n">
        <v>3.35694845576994</v>
      </c>
      <c r="AZ80" s="2" t="n">
        <v>0.18625552710983</v>
      </c>
      <c r="BA80" s="2" t="n">
        <v>2.91569107494267</v>
      </c>
      <c r="BB80" s="2" t="n">
        <v>3.77176681435793</v>
      </c>
      <c r="BC80" s="2" t="n">
        <v>1456.20412830285</v>
      </c>
      <c r="BD80" s="2" t="n">
        <v>2.85664281281622</v>
      </c>
      <c r="BE80" s="2" t="n">
        <v>4</v>
      </c>
      <c r="BF80" s="2" t="n">
        <v>4</v>
      </c>
      <c r="BG80" s="2" t="n">
        <v>11.4612412567202</v>
      </c>
      <c r="BH80" s="2" t="n">
        <v>0.653804666787667</v>
      </c>
      <c r="BI80" s="2" t="n">
        <v>9.99369024072258</v>
      </c>
      <c r="BJ80" s="2" t="n">
        <v>12.8301003280737</v>
      </c>
      <c r="BK80" s="2" t="n">
        <v>1.23168847181187</v>
      </c>
      <c r="BL80" s="2" t="n">
        <v>0.743810544023309</v>
      </c>
      <c r="BM80" s="2" t="n">
        <v>1.68670056254594</v>
      </c>
      <c r="BN80" s="2" t="n">
        <v>4000</v>
      </c>
      <c r="BO80" s="2" t="n">
        <v>1153.80328369141</v>
      </c>
      <c r="BP80" s="2" t="n">
        <v>1146.53036193848</v>
      </c>
      <c r="BQ80" s="2" t="n">
        <v>1156.97889709473</v>
      </c>
      <c r="BR80" s="2" t="n">
        <v>4000</v>
      </c>
      <c r="BS80" s="2" t="n">
        <v>4.28452668634804</v>
      </c>
      <c r="BT80" s="2" t="n">
        <v>2.59839989173193</v>
      </c>
      <c r="BU80" s="2" t="n">
        <v>5.84406825658819</v>
      </c>
      <c r="BV80" s="2" t="n">
        <v>48.79</v>
      </c>
      <c r="BW80" s="2" t="n">
        <v>3.65</v>
      </c>
      <c r="BX80" s="2" t="n">
        <v>13.63</v>
      </c>
      <c r="BY80" s="2" t="n">
        <v>12.31</v>
      </c>
      <c r="BZ80" s="2" t="n">
        <v>0.19</v>
      </c>
      <c r="CA80" s="2" t="n">
        <v>6.29</v>
      </c>
      <c r="CB80" s="2" t="n">
        <v>11.39</v>
      </c>
      <c r="CC80" s="2" t="n">
        <v>2.96</v>
      </c>
      <c r="CD80" s="2" t="n">
        <v>0.5</v>
      </c>
      <c r="CE80" s="2" t="n">
        <v>0.29</v>
      </c>
      <c r="CF80" s="2" t="n">
        <v>0.15</v>
      </c>
    </row>
    <row r="81" customFormat="false" ht="15" hidden="false" customHeight="false" outlineLevel="0" collapsed="false">
      <c r="A81" s="2" t="s">
        <v>254</v>
      </c>
      <c r="B81" s="2" t="n">
        <v>2009</v>
      </c>
      <c r="C81" s="2" t="s">
        <v>187</v>
      </c>
      <c r="D81" s="2" t="s">
        <v>188</v>
      </c>
      <c r="E81" s="2" t="n">
        <v>220</v>
      </c>
      <c r="F81" s="2" t="s">
        <v>255</v>
      </c>
      <c r="G81" s="2" t="s">
        <v>93</v>
      </c>
      <c r="H81" s="2" t="s">
        <v>108</v>
      </c>
      <c r="I81" s="2" t="n">
        <v>3</v>
      </c>
      <c r="J81" s="2" t="s">
        <v>90</v>
      </c>
      <c r="K81" s="2" t="n">
        <v>49.0653511715889</v>
      </c>
      <c r="L81" s="2" t="n">
        <v>2.06</v>
      </c>
      <c r="M81" s="2" t="n">
        <v>5.06</v>
      </c>
      <c r="N81" s="2" t="n">
        <v>7.55</v>
      </c>
      <c r="O81" s="2" t="n">
        <v>0.1597</v>
      </c>
      <c r="P81" s="2" t="n">
        <v>14.5494977970142</v>
      </c>
      <c r="Q81" s="2" t="n">
        <v>20.6227147382617</v>
      </c>
      <c r="R81" s="2" t="n">
        <v>0.3406</v>
      </c>
      <c r="S81" s="2" t="n">
        <v>0</v>
      </c>
      <c r="T81" s="2" t="n">
        <v>0.4627</v>
      </c>
      <c r="U81" s="2" t="n">
        <v>99.8705637068648</v>
      </c>
      <c r="V81" s="2" t="n">
        <v>2.68441154669366</v>
      </c>
      <c r="W81" s="2" t="n">
        <v>1.8252326389349</v>
      </c>
      <c r="X81" s="2" t="n">
        <v>0.0576512232020169</v>
      </c>
      <c r="Y81" s="2" t="n">
        <v>0.221844455221063</v>
      </c>
      <c r="Z81" s="2" t="n">
        <v>0.234886793677007</v>
      </c>
      <c r="AA81" s="2" t="n">
        <v>0.806867095611437</v>
      </c>
      <c r="AB81" s="2" t="n">
        <v>0.821983717722242</v>
      </c>
      <c r="AC81" s="2" t="n">
        <v>0.0245658743749222</v>
      </c>
      <c r="AD81" s="2" t="n">
        <v>0</v>
      </c>
      <c r="AE81" s="2" t="n">
        <v>0.0136080730220783</v>
      </c>
      <c r="AF81" s="2" t="n">
        <v>0.00503178418982575</v>
      </c>
      <c r="AG81" s="2" t="n">
        <v>0.432929556487085</v>
      </c>
      <c r="AH81" s="2" t="n">
        <v>0.126029969451414</v>
      </c>
      <c r="AI81" s="2" t="n">
        <v>0.441040474061502</v>
      </c>
      <c r="AJ81" s="2" t="n">
        <v>77.4527557715725</v>
      </c>
      <c r="AK81" s="2" t="n">
        <v>0.174758252749598</v>
      </c>
      <c r="AL81" s="2" t="n">
        <v>0.0470884172015408</v>
      </c>
      <c r="AM81" s="2" t="n">
        <v>0.0245661592586073</v>
      </c>
      <c r="AN81" s="2" t="n">
        <v>0.0225222579429336</v>
      </c>
      <c r="AO81" s="2" t="n">
        <v>0.076117997403332</v>
      </c>
      <c r="AP81" s="2" t="n">
        <v>1.91623553719922</v>
      </c>
      <c r="AQ81" s="2" t="n">
        <v>1.42835047331258</v>
      </c>
      <c r="AR81" s="2" t="n">
        <v>2.51221871462269</v>
      </c>
      <c r="AS81" s="2" t="n">
        <v>1119.58471679688</v>
      </c>
      <c r="AT81" s="2" t="n">
        <v>1116.4071685791</v>
      </c>
      <c r="AU81" s="2" t="n">
        <v>1122.44511108398</v>
      </c>
      <c r="AV81" s="2" t="n">
        <v>6.62603217862776</v>
      </c>
      <c r="AW81" s="2" t="n">
        <v>4.96011982135893</v>
      </c>
      <c r="AX81" s="2" t="n">
        <v>8.64147911977789</v>
      </c>
      <c r="AY81" s="2" t="n">
        <v>3.32137126365049</v>
      </c>
      <c r="AZ81" s="2" t="n">
        <v>0.165809534617086</v>
      </c>
      <c r="BA81" s="2" t="n">
        <v>2.91667074796757</v>
      </c>
      <c r="BB81" s="2" t="n">
        <v>3.74306029330013</v>
      </c>
      <c r="BC81" s="2" t="n">
        <v>1451.81522587673</v>
      </c>
      <c r="BD81" s="2" t="n">
        <v>1.527070022545</v>
      </c>
      <c r="BE81" s="2" t="n">
        <v>3</v>
      </c>
      <c r="BF81" s="2" t="n">
        <v>3</v>
      </c>
      <c r="BG81" s="2" t="n">
        <v>11.3433545616174</v>
      </c>
      <c r="BH81" s="2" t="n">
        <v>0.582136710866583</v>
      </c>
      <c r="BI81" s="2" t="n">
        <v>9.99696154474207</v>
      </c>
      <c r="BJ81" s="2" t="n">
        <v>12.7357075243277</v>
      </c>
      <c r="BK81" s="2" t="n">
        <v>1.19104163869807</v>
      </c>
      <c r="BL81" s="2" t="n">
        <v>0.860593040853055</v>
      </c>
      <c r="BM81" s="2" t="n">
        <v>1.65246621082269</v>
      </c>
      <c r="BN81" s="2" t="n">
        <v>3000</v>
      </c>
      <c r="BO81" s="2" t="n">
        <v>1151.76794433594</v>
      </c>
      <c r="BP81" s="2" t="n">
        <v>1145.26647644043</v>
      </c>
      <c r="BQ81" s="2" t="n">
        <v>1154.99839782715</v>
      </c>
      <c r="BR81" s="2" t="n">
        <v>3000</v>
      </c>
      <c r="BS81" s="2" t="n">
        <v>4.14460031788965</v>
      </c>
      <c r="BT81" s="2" t="n">
        <v>3.00331827476173</v>
      </c>
      <c r="BU81" s="2" t="n">
        <v>5.72716741992079</v>
      </c>
      <c r="BV81" s="2" t="n">
        <v>48.29</v>
      </c>
      <c r="BW81" s="2" t="n">
        <v>3.69</v>
      </c>
      <c r="BX81" s="2" t="n">
        <v>13.65</v>
      </c>
      <c r="BY81" s="2" t="n">
        <v>12.67</v>
      </c>
      <c r="BZ81" s="2" t="n">
        <v>0.18</v>
      </c>
      <c r="CA81" s="2" t="n">
        <v>6.25</v>
      </c>
      <c r="CB81" s="2" t="n">
        <v>11.35</v>
      </c>
      <c r="CC81" s="2" t="n">
        <v>3.11</v>
      </c>
      <c r="CD81" s="2" t="n">
        <v>0.49</v>
      </c>
      <c r="CE81" s="2" t="n">
        <v>0.33</v>
      </c>
      <c r="CF81" s="2" t="n">
        <v>0.15</v>
      </c>
    </row>
    <row r="82" customFormat="false" ht="15" hidden="false" customHeight="false" outlineLevel="0" collapsed="false">
      <c r="A82" s="2" t="s">
        <v>256</v>
      </c>
      <c r="B82" s="2" t="n">
        <v>2009</v>
      </c>
      <c r="C82" s="2" t="s">
        <v>187</v>
      </c>
      <c r="D82" s="2" t="s">
        <v>188</v>
      </c>
      <c r="E82" s="2" t="n">
        <v>221</v>
      </c>
      <c r="F82" s="2" t="s">
        <v>257</v>
      </c>
      <c r="G82" s="2" t="s">
        <v>93</v>
      </c>
      <c r="H82" s="2" t="s">
        <v>108</v>
      </c>
      <c r="I82" s="2" t="n">
        <v>3</v>
      </c>
      <c r="J82" s="2" t="s">
        <v>90</v>
      </c>
      <c r="K82" s="2" t="n">
        <v>48.5399396681041</v>
      </c>
      <c r="L82" s="2" t="n">
        <v>2.23</v>
      </c>
      <c r="M82" s="2" t="n">
        <v>5.17</v>
      </c>
      <c r="N82" s="2" t="n">
        <v>7.57</v>
      </c>
      <c r="O82" s="2" t="n">
        <v>0.1252</v>
      </c>
      <c r="P82" s="2" t="n">
        <v>14.2517853008377</v>
      </c>
      <c r="Q82" s="2" t="n">
        <v>20.7284722497399</v>
      </c>
      <c r="R82" s="2" t="n">
        <v>0.3198</v>
      </c>
      <c r="S82" s="2" t="n">
        <v>0</v>
      </c>
      <c r="T82" s="2" t="n">
        <v>0.4892</v>
      </c>
      <c r="U82" s="2" t="n">
        <v>99.4243972186816</v>
      </c>
      <c r="V82" s="2" t="n">
        <v>2.61305054015114</v>
      </c>
      <c r="W82" s="2" t="n">
        <v>1.85499966468461</v>
      </c>
      <c r="X82" s="2" t="n">
        <v>0.0641132005424911</v>
      </c>
      <c r="Y82" s="2" t="n">
        <v>0.232857319166245</v>
      </c>
      <c r="Z82" s="2" t="n">
        <v>0.24194063490815</v>
      </c>
      <c r="AA82" s="2" t="n">
        <v>0.8119411673826</v>
      </c>
      <c r="AB82" s="2" t="n">
        <v>0.848762070216016</v>
      </c>
      <c r="AC82" s="2" t="n">
        <v>0.0236955793169826</v>
      </c>
      <c r="AD82" s="2" t="n">
        <v>0</v>
      </c>
      <c r="AE82" s="2" t="n">
        <v>0.0147803551101647</v>
      </c>
      <c r="AF82" s="2" t="n">
        <v>0.00405249705090648</v>
      </c>
      <c r="AG82" s="2" t="n">
        <v>0.426743637690249</v>
      </c>
      <c r="AH82" s="2" t="n">
        <v>0.127160231299297</v>
      </c>
      <c r="AI82" s="2" t="n">
        <v>0.446096131010454</v>
      </c>
      <c r="AJ82" s="2" t="n">
        <v>77.0429061036769</v>
      </c>
      <c r="AK82" s="2"/>
      <c r="AL82" s="2"/>
      <c r="AM82" s="2"/>
      <c r="AN82" s="2"/>
      <c r="AO82" s="2"/>
      <c r="AP82" s="2" t="n">
        <v>1.35741024051262</v>
      </c>
      <c r="AQ82" s="2" t="n">
        <v>0.940337536078228</v>
      </c>
      <c r="AR82" s="2" t="n">
        <v>2.10337022576882</v>
      </c>
      <c r="AS82" s="2" t="n">
        <v>1118.47961425781</v>
      </c>
      <c r="AT82" s="2" t="n">
        <v>1109.99382324219</v>
      </c>
      <c r="AU82" s="2" t="n">
        <v>1122.19680175781</v>
      </c>
      <c r="AV82" s="2" t="n">
        <v>4.71668901901856</v>
      </c>
      <c r="AW82" s="2" t="n">
        <v>3.27934043224019</v>
      </c>
      <c r="AX82" s="2" t="n">
        <v>7.26118713768907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customFormat="false" ht="15" hidden="false" customHeight="false" outlineLevel="0" collapsed="false">
      <c r="A83" s="2" t="s">
        <v>258</v>
      </c>
      <c r="B83" s="2" t="n">
        <v>2009</v>
      </c>
      <c r="C83" s="2" t="s">
        <v>187</v>
      </c>
      <c r="D83" s="2" t="s">
        <v>188</v>
      </c>
      <c r="E83" s="2" t="n">
        <v>222</v>
      </c>
      <c r="F83" s="2" t="s">
        <v>259</v>
      </c>
      <c r="G83" s="2" t="s">
        <v>93</v>
      </c>
      <c r="H83" s="2" t="s">
        <v>89</v>
      </c>
      <c r="I83" s="2" t="n">
        <v>1</v>
      </c>
      <c r="J83" s="2" t="s">
        <v>90</v>
      </c>
      <c r="K83" s="2" t="n">
        <v>52.3794852704936</v>
      </c>
      <c r="L83" s="2" t="n">
        <v>0.9812</v>
      </c>
      <c r="M83" s="2" t="n">
        <v>2.37</v>
      </c>
      <c r="N83" s="2" t="n">
        <v>7.61</v>
      </c>
      <c r="O83" s="2" t="n">
        <v>0.1983</v>
      </c>
      <c r="P83" s="2" t="n">
        <v>17.4882082431438</v>
      </c>
      <c r="Q83" s="2" t="n">
        <v>18.2287492511628</v>
      </c>
      <c r="R83" s="2" t="n">
        <v>0.2249</v>
      </c>
      <c r="S83" s="2" t="n">
        <v>0</v>
      </c>
      <c r="T83" s="2" t="n">
        <v>0.3372</v>
      </c>
      <c r="U83" s="2" t="n">
        <v>99.8180427648002</v>
      </c>
      <c r="V83" s="2" t="n">
        <v>2.69125169933517</v>
      </c>
      <c r="W83" s="2" t="n">
        <v>1.94356613037343</v>
      </c>
      <c r="X83" s="2" t="n">
        <v>0.0273901005520572</v>
      </c>
      <c r="Y83" s="2" t="n">
        <v>0.103643289572308</v>
      </c>
      <c r="Z83" s="2" t="n">
        <v>0.236151705218035</v>
      </c>
      <c r="AA83" s="2" t="n">
        <v>0.967373306147415</v>
      </c>
      <c r="AB83" s="2" t="n">
        <v>0.724717973976007</v>
      </c>
      <c r="AC83" s="2" t="n">
        <v>0.0161797504740353</v>
      </c>
      <c r="AD83" s="2" t="n">
        <v>0</v>
      </c>
      <c r="AE83" s="2" t="n">
        <v>0.00989189456491123</v>
      </c>
      <c r="AF83" s="2" t="n">
        <v>0.00623210246883731</v>
      </c>
      <c r="AG83" s="2" t="n">
        <v>0.501686412709086</v>
      </c>
      <c r="AH83" s="2" t="n">
        <v>0.122469889434716</v>
      </c>
      <c r="AI83" s="2" t="n">
        <v>0.375843697856198</v>
      </c>
      <c r="AJ83" s="2" t="n">
        <v>80.3783300730817</v>
      </c>
      <c r="AK83" s="2"/>
      <c r="AL83" s="2"/>
      <c r="AM83" s="2"/>
      <c r="AN83" s="2"/>
      <c r="AO83" s="2"/>
      <c r="AP83" s="2" t="n">
        <v>0</v>
      </c>
      <c r="AQ83" s="2" t="n">
        <v>0</v>
      </c>
      <c r="AR83" s="2" t="n">
        <v>0.225232138941807</v>
      </c>
      <c r="AS83" s="2" t="n">
        <v>1146.85717773438</v>
      </c>
      <c r="AT83" s="2" t="n">
        <v>1139.50621643066</v>
      </c>
      <c r="AU83" s="2" t="n">
        <v>1148.61852416992</v>
      </c>
      <c r="AV83" s="2" t="n">
        <v>0</v>
      </c>
      <c r="AW83" s="2" t="n">
        <v>0</v>
      </c>
      <c r="AX83" s="2" t="n">
        <v>0.790356572958208</v>
      </c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customFormat="false" ht="15" hidden="false" customHeight="false" outlineLevel="0" collapsed="false">
      <c r="A84" s="2" t="s">
        <v>260</v>
      </c>
      <c r="B84" s="2" t="n">
        <v>2009</v>
      </c>
      <c r="C84" s="2" t="s">
        <v>187</v>
      </c>
      <c r="D84" s="2" t="s">
        <v>188</v>
      </c>
      <c r="E84" s="2" t="n">
        <v>223</v>
      </c>
      <c r="F84" s="2" t="s">
        <v>261</v>
      </c>
      <c r="G84" s="2" t="s">
        <v>88</v>
      </c>
      <c r="H84" s="2" t="s">
        <v>89</v>
      </c>
      <c r="I84" s="2" t="n">
        <v>1</v>
      </c>
      <c r="J84" s="2" t="s">
        <v>90</v>
      </c>
      <c r="K84" s="2" t="n">
        <v>51.8540737670087</v>
      </c>
      <c r="L84" s="2" t="n">
        <v>1.1381</v>
      </c>
      <c r="M84" s="2" t="n">
        <v>2.61</v>
      </c>
      <c r="N84" s="2" t="n">
        <v>7.56</v>
      </c>
      <c r="O84" s="2" t="n">
        <v>0.1931</v>
      </c>
      <c r="P84" s="2" t="n">
        <v>17.0368376844246</v>
      </c>
      <c r="Q84" s="2" t="n">
        <v>18.6710079355264</v>
      </c>
      <c r="R84" s="2" t="n">
        <v>0.2351</v>
      </c>
      <c r="S84" s="2" t="n">
        <v>0</v>
      </c>
      <c r="T84" s="2" t="n">
        <v>0.4718</v>
      </c>
      <c r="U84" s="2" t="n">
        <v>99.7700193869597</v>
      </c>
      <c r="V84" s="2" t="n">
        <v>2.70806401621256</v>
      </c>
      <c r="W84" s="2" t="n">
        <v>1.9121253872001</v>
      </c>
      <c r="X84" s="2" t="n">
        <v>0.0315727129397683</v>
      </c>
      <c r="Y84" s="2" t="n">
        <v>0.11343021119219</v>
      </c>
      <c r="Z84" s="2" t="n">
        <v>0.233143662831445</v>
      </c>
      <c r="AA84" s="2" t="n">
        <v>0.936554725563443</v>
      </c>
      <c r="AB84" s="2" t="n">
        <v>0.737692411022618</v>
      </c>
      <c r="AC84" s="2" t="n">
        <v>0.0168085551667052</v>
      </c>
      <c r="AD84" s="2" t="n">
        <v>0</v>
      </c>
      <c r="AE84" s="2" t="n">
        <v>0.0137545136887444</v>
      </c>
      <c r="AF84" s="2" t="n">
        <v>0.00603100287637482</v>
      </c>
      <c r="AG84" s="2" t="n">
        <v>0.491013548901177</v>
      </c>
      <c r="AH84" s="2" t="n">
        <v>0.12223172246749</v>
      </c>
      <c r="AI84" s="2" t="n">
        <v>0.386754728631332</v>
      </c>
      <c r="AJ84" s="2" t="n">
        <v>80.0680530002802</v>
      </c>
      <c r="AK84" s="2" t="n">
        <v>0.0878674701911935</v>
      </c>
      <c r="AL84" s="2" t="n">
        <v>0.0255637310717721</v>
      </c>
      <c r="AM84" s="2" t="n">
        <v>0.0168087289995034</v>
      </c>
      <c r="AN84" s="2" t="n">
        <v>0.0087550020722687</v>
      </c>
      <c r="AO84" s="2" t="n">
        <v>0.0395562340594624</v>
      </c>
      <c r="AP84" s="2" t="n">
        <v>0</v>
      </c>
      <c r="AQ84" s="2" t="n">
        <v>0</v>
      </c>
      <c r="AR84" s="2" t="n">
        <v>0.228554039744234</v>
      </c>
      <c r="AS84" s="2" t="n">
        <v>1146.51428222656</v>
      </c>
      <c r="AT84" s="2" t="n">
        <v>1132.3583984375</v>
      </c>
      <c r="AU84" s="2" t="n">
        <v>1149.48665161133</v>
      </c>
      <c r="AV84" s="2" t="n">
        <v>0</v>
      </c>
      <c r="AW84" s="2" t="n">
        <v>0</v>
      </c>
      <c r="AX84" s="2" t="n">
        <v>0.801990368779525</v>
      </c>
      <c r="AY84" s="2" t="n">
        <v>1.70764444698301</v>
      </c>
      <c r="AZ84" s="2" t="n">
        <v>0.162410903947119</v>
      </c>
      <c r="BA84" s="2" t="n">
        <v>1.0848390670062</v>
      </c>
      <c r="BB84" s="2" t="n">
        <v>2.32634802957339</v>
      </c>
      <c r="BC84" s="2" t="n">
        <v>1456.32290813045</v>
      </c>
      <c r="BD84" s="2" t="n">
        <v>3.38677160198097</v>
      </c>
      <c r="BE84" s="2" t="n">
        <v>68</v>
      </c>
      <c r="BF84" s="2" t="n">
        <v>68</v>
      </c>
      <c r="BG84" s="2" t="n">
        <v>5.91555080956101</v>
      </c>
      <c r="BH84" s="2" t="n">
        <v>0.570221264945531</v>
      </c>
      <c r="BI84" s="2" t="n">
        <v>3.77852633890761</v>
      </c>
      <c r="BJ84" s="2" t="n">
        <v>8.01522661398966</v>
      </c>
      <c r="BK84" s="2" t="n">
        <v>0</v>
      </c>
      <c r="BL84" s="2" t="n">
        <v>0</v>
      </c>
      <c r="BM84" s="2" t="n">
        <v>0.336793403081059</v>
      </c>
      <c r="BN84" s="2" t="n">
        <v>68000</v>
      </c>
      <c r="BO84" s="2" t="n">
        <v>1161.62591552734</v>
      </c>
      <c r="BP84" s="2" t="n">
        <v>1153.81638793945</v>
      </c>
      <c r="BQ84" s="2" t="n">
        <v>1164.55641479492</v>
      </c>
      <c r="BR84" s="2" t="n">
        <v>68000</v>
      </c>
      <c r="BS84" s="2" t="n">
        <v>0</v>
      </c>
      <c r="BT84" s="2" t="n">
        <v>0</v>
      </c>
      <c r="BU84" s="2" t="n">
        <v>1.18069500306302</v>
      </c>
      <c r="BV84" s="2" t="n">
        <v>48.77</v>
      </c>
      <c r="BW84" s="2" t="n">
        <v>3.43</v>
      </c>
      <c r="BX84" s="2" t="n">
        <v>13.84</v>
      </c>
      <c r="BY84" s="2" t="n">
        <v>11.98</v>
      </c>
      <c r="BZ84" s="2" t="n">
        <v>0.17</v>
      </c>
      <c r="CA84" s="2" t="n">
        <v>6.53</v>
      </c>
      <c r="CB84" s="2" t="n">
        <v>11.6</v>
      </c>
      <c r="CC84" s="2" t="n">
        <v>2.96</v>
      </c>
      <c r="CD84" s="2" t="n">
        <v>0.45</v>
      </c>
      <c r="CE84" s="2" t="n">
        <v>0.27</v>
      </c>
      <c r="CF84" s="2" t="n">
        <v>0.15</v>
      </c>
    </row>
    <row r="85" customFormat="false" ht="15" hidden="false" customHeight="false" outlineLevel="0" collapsed="false">
      <c r="A85" s="2" t="s">
        <v>262</v>
      </c>
      <c r="B85" s="2" t="n">
        <v>2009</v>
      </c>
      <c r="C85" s="2" t="s">
        <v>187</v>
      </c>
      <c r="D85" s="2" t="s">
        <v>188</v>
      </c>
      <c r="E85" s="2" t="n">
        <v>224</v>
      </c>
      <c r="F85" s="2" t="s">
        <v>263</v>
      </c>
      <c r="G85" s="2" t="s">
        <v>93</v>
      </c>
      <c r="H85" s="2" t="s">
        <v>94</v>
      </c>
      <c r="I85" s="2" t="n">
        <v>1</v>
      </c>
      <c r="J85" s="2" t="s">
        <v>90</v>
      </c>
      <c r="K85" s="2" t="n">
        <v>49.2270162495843</v>
      </c>
      <c r="L85" s="2" t="n">
        <v>1.8</v>
      </c>
      <c r="M85" s="2" t="n">
        <v>4.79</v>
      </c>
      <c r="N85" s="2" t="n">
        <v>6.83</v>
      </c>
      <c r="O85" s="2" t="n">
        <v>0.1408</v>
      </c>
      <c r="P85" s="2" t="n">
        <v>14.7607776330104</v>
      </c>
      <c r="Q85" s="2" t="n">
        <v>20.5842574613605</v>
      </c>
      <c r="R85" s="2" t="n">
        <v>0.3529</v>
      </c>
      <c r="S85" s="2" t="n">
        <v>0</v>
      </c>
      <c r="T85" s="2" t="n">
        <v>0.7373</v>
      </c>
      <c r="U85" s="2" t="n">
        <v>99.2230513439552</v>
      </c>
      <c r="V85" s="2" t="n">
        <v>2.67522416727649</v>
      </c>
      <c r="W85" s="2" t="n">
        <v>1.83753553732816</v>
      </c>
      <c r="X85" s="2" t="n">
        <v>0.0505478548987726</v>
      </c>
      <c r="Y85" s="2" t="n">
        <v>0.210728120732648</v>
      </c>
      <c r="Z85" s="2" t="n">
        <v>0.213216726213579</v>
      </c>
      <c r="AA85" s="2" t="n">
        <v>0.821395196743987</v>
      </c>
      <c r="AB85" s="2" t="n">
        <v>0.823268511575358</v>
      </c>
      <c r="AC85" s="2" t="n">
        <v>0.0255404273946441</v>
      </c>
      <c r="AD85" s="2" t="n">
        <v>0</v>
      </c>
      <c r="AE85" s="2" t="n">
        <v>0.0217585667442607</v>
      </c>
      <c r="AF85" s="2" t="n">
        <v>0.00445152343456455</v>
      </c>
      <c r="AG85" s="2" t="n">
        <v>0.442114132576291</v>
      </c>
      <c r="AH85" s="2" t="n">
        <v>0.114763427317745</v>
      </c>
      <c r="AI85" s="2" t="n">
        <v>0.443122440105964</v>
      </c>
      <c r="AJ85" s="2" t="n">
        <v>79.3916229377994</v>
      </c>
      <c r="AK85" s="2" t="n">
        <v>0.162456148677055</v>
      </c>
      <c r="AL85" s="2" t="n">
        <v>0.0482739776747873</v>
      </c>
      <c r="AM85" s="2" t="n">
        <v>0.0255407116860497</v>
      </c>
      <c r="AN85" s="2" t="n">
        <v>0.0227332659887376</v>
      </c>
      <c r="AO85" s="2" t="n">
        <v>0.0698614413441587</v>
      </c>
      <c r="AP85" s="2" t="n">
        <v>1.96871404572514</v>
      </c>
      <c r="AQ85" s="2" t="n">
        <v>1.54776604100255</v>
      </c>
      <c r="AR85" s="2" t="n">
        <v>2.65952400489834</v>
      </c>
      <c r="AS85" s="2" t="n">
        <v>1129.64526367188</v>
      </c>
      <c r="AT85" s="2" t="n">
        <v>1125.18909606934</v>
      </c>
      <c r="AU85" s="2" t="n">
        <v>1132.93118591309</v>
      </c>
      <c r="AV85" s="2" t="n">
        <v>6.80436391305181</v>
      </c>
      <c r="AW85" s="2" t="n">
        <v>5.36920455811512</v>
      </c>
      <c r="AX85" s="2" t="n">
        <v>9.13630649046338</v>
      </c>
      <c r="AY85" s="2" t="n">
        <v>3.94750882262375</v>
      </c>
      <c r="AZ85" s="2" t="n">
        <v>0.16687265834921</v>
      </c>
      <c r="BA85" s="2" t="n">
        <v>3.38439170750812</v>
      </c>
      <c r="BB85" s="2" t="n">
        <v>4.45958079819255</v>
      </c>
      <c r="BC85" s="2" t="n">
        <v>1463.188874708</v>
      </c>
      <c r="BD85" s="2" t="n">
        <v>3.25213593370961</v>
      </c>
      <c r="BE85" s="2" t="n">
        <v>71</v>
      </c>
      <c r="BF85" s="2" t="n">
        <v>71</v>
      </c>
      <c r="BG85" s="2" t="n">
        <v>13.4068866445507</v>
      </c>
      <c r="BH85" s="2" t="n">
        <v>0.58586383102162</v>
      </c>
      <c r="BI85" s="2" t="n">
        <v>11.5521233553634</v>
      </c>
      <c r="BJ85" s="2" t="n">
        <v>15.0768379432283</v>
      </c>
      <c r="BK85" s="2" t="n">
        <v>1.61000596159798</v>
      </c>
      <c r="BL85" s="2" t="n">
        <v>1.11338214809967</v>
      </c>
      <c r="BM85" s="2" t="n">
        <v>2.29653588803183</v>
      </c>
      <c r="BN85" s="2" t="n">
        <v>71000</v>
      </c>
      <c r="BO85" s="2" t="n">
        <v>1160.87811279297</v>
      </c>
      <c r="BP85" s="2" t="n">
        <v>1151.37322387695</v>
      </c>
      <c r="BQ85" s="2" t="n">
        <v>1165.65955505371</v>
      </c>
      <c r="BR85" s="2" t="n">
        <v>71000</v>
      </c>
      <c r="BS85" s="2" t="n">
        <v>5.582078748732</v>
      </c>
      <c r="BT85" s="2" t="n">
        <v>3.87697981433011</v>
      </c>
      <c r="BU85" s="2" t="n">
        <v>7.91458599305506</v>
      </c>
      <c r="BV85" s="2" t="n">
        <v>48.77</v>
      </c>
      <c r="BW85" s="2" t="n">
        <v>3.43</v>
      </c>
      <c r="BX85" s="2" t="n">
        <v>13.84</v>
      </c>
      <c r="BY85" s="2" t="n">
        <v>11.98</v>
      </c>
      <c r="BZ85" s="2" t="n">
        <v>0.17</v>
      </c>
      <c r="CA85" s="2" t="n">
        <v>6.53</v>
      </c>
      <c r="CB85" s="2" t="n">
        <v>11.6</v>
      </c>
      <c r="CC85" s="2" t="n">
        <v>2.96</v>
      </c>
      <c r="CD85" s="2" t="n">
        <v>0.45</v>
      </c>
      <c r="CE85" s="2" t="n">
        <v>0.27</v>
      </c>
      <c r="CF85" s="2" t="n">
        <v>0.15</v>
      </c>
    </row>
    <row r="86" customFormat="false" ht="15" hidden="false" customHeight="false" outlineLevel="0" collapsed="false">
      <c r="A86" s="2" t="s">
        <v>264</v>
      </c>
      <c r="B86" s="2" t="n">
        <v>2009</v>
      </c>
      <c r="C86" s="2" t="s">
        <v>187</v>
      </c>
      <c r="D86" s="2" t="s">
        <v>188</v>
      </c>
      <c r="E86" s="2" t="n">
        <v>225</v>
      </c>
      <c r="F86" s="2" t="s">
        <v>265</v>
      </c>
      <c r="G86" s="2" t="s">
        <v>93</v>
      </c>
      <c r="H86" s="2" t="s">
        <v>94</v>
      </c>
      <c r="I86" s="2" t="n">
        <v>1</v>
      </c>
      <c r="J86" s="2" t="s">
        <v>90</v>
      </c>
      <c r="K86" s="2" t="n">
        <v>48.8430616893453</v>
      </c>
      <c r="L86" s="2" t="n">
        <v>2.11</v>
      </c>
      <c r="M86" s="2" t="n">
        <v>5.01</v>
      </c>
      <c r="N86" s="2" t="n">
        <v>7.56</v>
      </c>
      <c r="O86" s="2" t="n">
        <v>0.1531</v>
      </c>
      <c r="P86" s="2" t="n">
        <v>14.7415703751926</v>
      </c>
      <c r="Q86" s="2" t="n">
        <v>20.3150565230522</v>
      </c>
      <c r="R86" s="2" t="n">
        <v>0.3477</v>
      </c>
      <c r="S86" s="2" t="n">
        <v>0</v>
      </c>
      <c r="T86" s="2" t="n">
        <v>0.6103</v>
      </c>
      <c r="U86" s="2" t="n">
        <v>99.6907885875901</v>
      </c>
      <c r="V86" s="2" t="n">
        <v>2.67914638456945</v>
      </c>
      <c r="W86" s="2" t="n">
        <v>1.82053422994957</v>
      </c>
      <c r="X86" s="2" t="n">
        <v>0.05916657311177</v>
      </c>
      <c r="Y86" s="2" t="n">
        <v>0.220083985565323</v>
      </c>
      <c r="Z86" s="2" t="n">
        <v>0.235660122029239</v>
      </c>
      <c r="AA86" s="2" t="n">
        <v>0.819125426030707</v>
      </c>
      <c r="AB86" s="2" t="n">
        <v>0.811312318646606</v>
      </c>
      <c r="AC86" s="2" t="n">
        <v>0.025127248131398</v>
      </c>
      <c r="AD86" s="2" t="n">
        <v>0</v>
      </c>
      <c r="AE86" s="2" t="n">
        <v>0.0179842841719516</v>
      </c>
      <c r="AF86" s="2" t="n">
        <v>0.00483331316745381</v>
      </c>
      <c r="AG86" s="2" t="n">
        <v>0.43895094713139</v>
      </c>
      <c r="AH86" s="2" t="n">
        <v>0.126284974777422</v>
      </c>
      <c r="AI86" s="2" t="n">
        <v>0.434764078091188</v>
      </c>
      <c r="AJ86" s="2" t="n">
        <v>77.658006173607</v>
      </c>
      <c r="AK86" s="2" t="n">
        <v>0.179456502027914</v>
      </c>
      <c r="AL86" s="2" t="n">
        <v>0.0406297028337158</v>
      </c>
      <c r="AM86" s="2" t="n">
        <v>0.0251275420530997</v>
      </c>
      <c r="AN86" s="2" t="n">
        <v>0.0155021607806161</v>
      </c>
      <c r="AO86" s="2" t="n">
        <v>0.0819771706236487</v>
      </c>
      <c r="AP86" s="2" t="n">
        <v>1.88190587055838</v>
      </c>
      <c r="AQ86" s="2" t="n">
        <v>1.57705414188063</v>
      </c>
      <c r="AR86" s="2" t="n">
        <v>2.858995978953</v>
      </c>
      <c r="AS86" s="2" t="n">
        <v>1118.7529296875</v>
      </c>
      <c r="AT86" s="2" t="n">
        <v>1114.0132019043</v>
      </c>
      <c r="AU86" s="2" t="n">
        <v>1122.02256774902</v>
      </c>
      <c r="AV86" s="2" t="n">
        <v>6.50928328821525</v>
      </c>
      <c r="AW86" s="2" t="n">
        <v>5.46940553451549</v>
      </c>
      <c r="AX86" s="2" t="n">
        <v>9.80427606476848</v>
      </c>
      <c r="AY86" s="2" t="n">
        <v>3.57511508522399</v>
      </c>
      <c r="AZ86" s="2" t="n">
        <v>0.166243475568945</v>
      </c>
      <c r="BA86" s="2" t="n">
        <v>3.14477546149888</v>
      </c>
      <c r="BB86" s="2" t="n">
        <v>3.99828200547266</v>
      </c>
      <c r="BC86" s="2" t="n">
        <v>1457.2124513729</v>
      </c>
      <c r="BD86" s="2" t="n">
        <v>1.54221164852113</v>
      </c>
      <c r="BE86" s="2" t="n">
        <v>3</v>
      </c>
      <c r="BF86" s="2" t="n">
        <v>3</v>
      </c>
      <c r="BG86" s="2" t="n">
        <v>12.1824692575994</v>
      </c>
      <c r="BH86" s="2" t="n">
        <v>0.583658037889824</v>
      </c>
      <c r="BI86" s="2" t="n">
        <v>10.7570607801756</v>
      </c>
      <c r="BJ86" s="2" t="n">
        <v>13.5731760554842</v>
      </c>
      <c r="BK86" s="2" t="n">
        <v>1.43895452581871</v>
      </c>
      <c r="BL86" s="2" t="n">
        <v>1.02789355956806</v>
      </c>
      <c r="BM86" s="2" t="n">
        <v>2.02063263090009</v>
      </c>
      <c r="BN86" s="2" t="n">
        <v>3000</v>
      </c>
      <c r="BO86" s="2" t="n">
        <v>1153.06567382813</v>
      </c>
      <c r="BP86" s="2" t="n">
        <v>1145.30547790527</v>
      </c>
      <c r="BQ86" s="2" t="n">
        <v>1156.55621643066</v>
      </c>
      <c r="BR86" s="2" t="n">
        <v>3000</v>
      </c>
      <c r="BS86" s="2" t="n">
        <v>4.99648133646656</v>
      </c>
      <c r="BT86" s="2" t="n">
        <v>3.58195704144036</v>
      </c>
      <c r="BU86" s="2" t="n">
        <v>6.98062869324115</v>
      </c>
      <c r="BV86" s="2" t="n">
        <v>48.29</v>
      </c>
      <c r="BW86" s="2" t="n">
        <v>3.69</v>
      </c>
      <c r="BX86" s="2" t="n">
        <v>13.65</v>
      </c>
      <c r="BY86" s="2" t="n">
        <v>12.67</v>
      </c>
      <c r="BZ86" s="2" t="n">
        <v>0.18</v>
      </c>
      <c r="CA86" s="2" t="n">
        <v>6.25</v>
      </c>
      <c r="CB86" s="2" t="n">
        <v>11.35</v>
      </c>
      <c r="CC86" s="2" t="n">
        <v>3.11</v>
      </c>
      <c r="CD86" s="2" t="n">
        <v>0.49</v>
      </c>
      <c r="CE86" s="2" t="n">
        <v>0.33</v>
      </c>
      <c r="CF86" s="2" t="n">
        <v>0.15</v>
      </c>
    </row>
    <row r="87" customFormat="false" ht="15" hidden="false" customHeight="false" outlineLevel="0" collapsed="false">
      <c r="A87" s="2" t="s">
        <v>266</v>
      </c>
      <c r="B87" s="2" t="n">
        <v>2009</v>
      </c>
      <c r="C87" s="2" t="s">
        <v>187</v>
      </c>
      <c r="D87" s="2" t="s">
        <v>188</v>
      </c>
      <c r="E87" s="2" t="n">
        <v>226</v>
      </c>
      <c r="F87" s="2" t="s">
        <v>267</v>
      </c>
      <c r="G87" s="2" t="s">
        <v>88</v>
      </c>
      <c r="H87" s="2" t="s">
        <v>94</v>
      </c>
      <c r="I87" s="2" t="n">
        <v>1</v>
      </c>
      <c r="J87" s="2" t="s">
        <v>90</v>
      </c>
      <c r="K87" s="2" t="n">
        <v>49.1360796432119</v>
      </c>
      <c r="L87" s="2" t="n">
        <v>1.98</v>
      </c>
      <c r="M87" s="2" t="n">
        <v>4.68</v>
      </c>
      <c r="N87" s="2" t="n">
        <v>7.37</v>
      </c>
      <c r="O87" s="2" t="n">
        <v>0.146</v>
      </c>
      <c r="P87" s="2" t="n">
        <v>14.5206869102874</v>
      </c>
      <c r="Q87" s="2" t="n">
        <v>20.9303729534712</v>
      </c>
      <c r="R87" s="2" t="n">
        <v>0.3496</v>
      </c>
      <c r="S87" s="2" t="n">
        <v>0</v>
      </c>
      <c r="T87" s="2" t="n">
        <v>0.4831</v>
      </c>
      <c r="U87" s="2" t="n">
        <v>99.5958395069705</v>
      </c>
      <c r="V87" s="2" t="n">
        <v>2.67620255156119</v>
      </c>
      <c r="W87" s="2" t="n">
        <v>1.83347053739123</v>
      </c>
      <c r="X87" s="2" t="n">
        <v>0.055582312798157</v>
      </c>
      <c r="Y87" s="2" t="n">
        <v>0.205813582580775</v>
      </c>
      <c r="Z87" s="2" t="n">
        <v>0.229990159072147</v>
      </c>
      <c r="AA87" s="2" t="n">
        <v>0.807739425594899</v>
      </c>
      <c r="AB87" s="2" t="n">
        <v>0.836805382884947</v>
      </c>
      <c r="AC87" s="2" t="n">
        <v>0.0252923466055915</v>
      </c>
      <c r="AD87" s="2" t="n">
        <v>0</v>
      </c>
      <c r="AE87" s="2" t="n">
        <v>0.0142516217352788</v>
      </c>
      <c r="AF87" s="2" t="n">
        <v>0.00461423876703399</v>
      </c>
      <c r="AG87" s="2" t="n">
        <v>0.430901231279643</v>
      </c>
      <c r="AH87" s="2" t="n">
        <v>0.122691847873341</v>
      </c>
      <c r="AI87" s="2" t="n">
        <v>0.446406920847016</v>
      </c>
      <c r="AJ87" s="2" t="n">
        <v>77.8371781560088</v>
      </c>
      <c r="AK87" s="2" t="n">
        <v>0.166520516680118</v>
      </c>
      <c r="AL87" s="2" t="n">
        <v>0.0392950977471812</v>
      </c>
      <c r="AM87" s="2" t="n">
        <v>0.0252926371067743</v>
      </c>
      <c r="AN87" s="2" t="n">
        <v>0.0140024606404069</v>
      </c>
      <c r="AO87" s="2" t="n">
        <v>0.0762590280198557</v>
      </c>
      <c r="AP87" s="2" t="n">
        <v>1.54548042560225</v>
      </c>
      <c r="AQ87" s="2" t="n">
        <v>1.20963630223876</v>
      </c>
      <c r="AR87" s="2" t="n">
        <v>1.92093510771399</v>
      </c>
      <c r="AS87" s="2" t="n">
        <v>1114.67504882813</v>
      </c>
      <c r="AT87" s="2" t="n">
        <v>1105.69858398438</v>
      </c>
      <c r="AU87" s="2" t="n">
        <v>1117.35650024414</v>
      </c>
      <c r="AV87" s="2" t="n">
        <v>5.3613827830736</v>
      </c>
      <c r="AW87" s="2" t="n">
        <v>4.20862470953533</v>
      </c>
      <c r="AX87" s="2" t="n">
        <v>6.64200899706377</v>
      </c>
      <c r="AY87" s="2" t="n">
        <v>3.38360084531874</v>
      </c>
      <c r="AZ87" s="2" t="n">
        <v>0.185965883579874</v>
      </c>
      <c r="BA87" s="2" t="n">
        <v>2.95853835630725</v>
      </c>
      <c r="BB87" s="2" t="n">
        <v>3.82781839022682</v>
      </c>
      <c r="BC87" s="2" t="n">
        <v>1449.74204597209</v>
      </c>
      <c r="BD87" s="2" t="n">
        <v>2.82927692494277</v>
      </c>
      <c r="BE87" s="2" t="n">
        <v>4</v>
      </c>
      <c r="BF87" s="2" t="n">
        <v>4</v>
      </c>
      <c r="BG87" s="2" t="n">
        <v>11.5495049452388</v>
      </c>
      <c r="BH87" s="2" t="n">
        <v>0.652789575789854</v>
      </c>
      <c r="BI87" s="2" t="n">
        <v>10.1367106460067</v>
      </c>
      <c r="BJ87" s="2" t="n">
        <v>13.0142652112531</v>
      </c>
      <c r="BK87" s="2" t="n">
        <v>1.11175117221448</v>
      </c>
      <c r="BL87" s="2" t="n">
        <v>0.742046279331284</v>
      </c>
      <c r="BM87" s="2" t="n">
        <v>1.68043247537504</v>
      </c>
      <c r="BN87" s="2" t="n">
        <v>4000</v>
      </c>
      <c r="BO87" s="2" t="n">
        <v>1152.39013671875</v>
      </c>
      <c r="BP87" s="2" t="n">
        <v>1143.76741943359</v>
      </c>
      <c r="BQ87" s="2" t="n">
        <v>1155.77094421387</v>
      </c>
      <c r="BR87" s="2" t="n">
        <v>4000</v>
      </c>
      <c r="BS87" s="2" t="n">
        <v>3.87135542912061</v>
      </c>
      <c r="BT87" s="2" t="n">
        <v>2.59227634327658</v>
      </c>
      <c r="BU87" s="2" t="n">
        <v>5.82266978505095</v>
      </c>
      <c r="BV87" s="2" t="n">
        <v>48.79</v>
      </c>
      <c r="BW87" s="2" t="n">
        <v>3.65</v>
      </c>
      <c r="BX87" s="2" t="n">
        <v>13.63</v>
      </c>
      <c r="BY87" s="2" t="n">
        <v>12.31</v>
      </c>
      <c r="BZ87" s="2" t="n">
        <v>0.19</v>
      </c>
      <c r="CA87" s="2" t="n">
        <v>6.29</v>
      </c>
      <c r="CB87" s="2" t="n">
        <v>11.39</v>
      </c>
      <c r="CC87" s="2" t="n">
        <v>2.96</v>
      </c>
      <c r="CD87" s="2" t="n">
        <v>0.5</v>
      </c>
      <c r="CE87" s="2" t="n">
        <v>0.29</v>
      </c>
      <c r="CF87" s="2" t="n">
        <v>0.15</v>
      </c>
    </row>
    <row r="88" customFormat="false" ht="15" hidden="false" customHeight="false" outlineLevel="0" collapsed="false">
      <c r="A88" s="2" t="s">
        <v>268</v>
      </c>
      <c r="B88" s="2" t="n">
        <v>2009</v>
      </c>
      <c r="C88" s="2" t="s">
        <v>187</v>
      </c>
      <c r="D88" s="2" t="s">
        <v>188</v>
      </c>
      <c r="E88" s="2" t="n">
        <v>227</v>
      </c>
      <c r="F88" s="2" t="s">
        <v>269</v>
      </c>
      <c r="G88" s="2" t="s">
        <v>97</v>
      </c>
      <c r="H88" s="2" t="s">
        <v>89</v>
      </c>
      <c r="I88" s="2" t="n">
        <v>1</v>
      </c>
      <c r="J88" s="2" t="s">
        <v>90</v>
      </c>
      <c r="K88" s="2" t="n">
        <v>52.3895893378683</v>
      </c>
      <c r="L88" s="2" t="n">
        <v>1.0697</v>
      </c>
      <c r="M88" s="2" t="n">
        <v>2.04</v>
      </c>
      <c r="N88" s="2" t="n">
        <v>7.96</v>
      </c>
      <c r="O88" s="2" t="n">
        <v>0.2008</v>
      </c>
      <c r="P88" s="2" t="n">
        <v>16.9696122820621</v>
      </c>
      <c r="Q88" s="2" t="n">
        <v>18.8056084046806</v>
      </c>
      <c r="R88" s="2" t="n">
        <v>0.2095</v>
      </c>
      <c r="S88" s="2" t="n">
        <v>0</v>
      </c>
      <c r="T88" s="2" t="n">
        <v>0.1662</v>
      </c>
      <c r="U88" s="2" t="n">
        <v>99.811010024611</v>
      </c>
      <c r="V88" s="2" t="n">
        <v>2.70736931299761</v>
      </c>
      <c r="W88" s="2" t="n">
        <v>1.93236830312262</v>
      </c>
      <c r="X88" s="2" t="n">
        <v>0.0296828021893729</v>
      </c>
      <c r="Y88" s="2" t="n">
        <v>0.0886808455178868</v>
      </c>
      <c r="Z88" s="2" t="n">
        <v>0.245542295654747</v>
      </c>
      <c r="AA88" s="2" t="n">
        <v>0.93309855731198</v>
      </c>
      <c r="AB88" s="2" t="n">
        <v>0.74320113631942</v>
      </c>
      <c r="AC88" s="2" t="n">
        <v>0.0149821177652473</v>
      </c>
      <c r="AD88" s="2" t="n">
        <v>0</v>
      </c>
      <c r="AE88" s="2" t="n">
        <v>0.00484651707539166</v>
      </c>
      <c r="AF88" s="2" t="n">
        <v>0.00627310265779896</v>
      </c>
      <c r="AG88" s="2" t="n">
        <v>0.485523035979962</v>
      </c>
      <c r="AH88" s="2" t="n">
        <v>0.127764039407814</v>
      </c>
      <c r="AI88" s="2" t="n">
        <v>0.386712924612224</v>
      </c>
      <c r="AJ88" s="2" t="n">
        <v>79.1673354069903</v>
      </c>
      <c r="AK88" s="2" t="n">
        <v>0.067624524013044</v>
      </c>
      <c r="AL88" s="2" t="n">
        <v>0.0210570934701309</v>
      </c>
      <c r="AM88" s="2" t="n">
        <v>0.0149822723574769</v>
      </c>
      <c r="AN88" s="2" t="n">
        <v>0.00607482111265402</v>
      </c>
      <c r="AO88" s="2" t="n">
        <v>0.030774851450195</v>
      </c>
      <c r="AP88" s="2" t="n">
        <v>0</v>
      </c>
      <c r="AQ88" s="2" t="n">
        <v>0</v>
      </c>
      <c r="AR88" s="2" t="n">
        <v>0</v>
      </c>
      <c r="AS88" s="2" t="n">
        <v>1137.84716796875</v>
      </c>
      <c r="AT88" s="2" t="n">
        <v>1126.92947998047</v>
      </c>
      <c r="AU88" s="2" t="n">
        <v>1141.93484191895</v>
      </c>
      <c r="AV88" s="2" t="n">
        <v>0</v>
      </c>
      <c r="AW88" s="2" t="n">
        <v>0</v>
      </c>
      <c r="AX88" s="2" t="n">
        <v>0</v>
      </c>
      <c r="AY88" s="2" t="n">
        <v>0.452550912286088</v>
      </c>
      <c r="AZ88" s="2" t="n">
        <v>0.162491105175694</v>
      </c>
      <c r="BA88" s="2" t="n">
        <v>-0.18202085994031</v>
      </c>
      <c r="BB88" s="2" t="n">
        <v>1.05033350348011</v>
      </c>
      <c r="BC88" s="2" t="n">
        <v>1438.46409735614</v>
      </c>
      <c r="BD88" s="2" t="n">
        <v>5.42864172222909</v>
      </c>
      <c r="BE88" s="2" t="n">
        <v>3</v>
      </c>
      <c r="BF88" s="2" t="n">
        <v>3</v>
      </c>
      <c r="BG88" s="2" t="n">
        <v>1.58491824196187</v>
      </c>
      <c r="BH88" s="2" t="n">
        <v>0.570502454901607</v>
      </c>
      <c r="BI88" s="2" t="n">
        <v>-0.640971028745775</v>
      </c>
      <c r="BJ88" s="2" t="n">
        <v>3.65944059068918</v>
      </c>
      <c r="BK88" s="2" t="n">
        <v>0</v>
      </c>
      <c r="BL88" s="2" t="n">
        <v>0</v>
      </c>
      <c r="BM88" s="2" t="n">
        <v>0</v>
      </c>
      <c r="BN88" s="2" t="n">
        <v>3000</v>
      </c>
      <c r="BO88" s="2" t="n">
        <v>1152.93286132813</v>
      </c>
      <c r="BP88" s="2" t="n">
        <v>1149.01838378906</v>
      </c>
      <c r="BQ88" s="2" t="n">
        <v>1160.3231262207</v>
      </c>
      <c r="BR88" s="2" t="n">
        <v>3000</v>
      </c>
      <c r="BS88" s="2" t="n">
        <v>0</v>
      </c>
      <c r="BT88" s="2" t="n">
        <v>0</v>
      </c>
      <c r="BU88" s="2" t="n">
        <v>0</v>
      </c>
      <c r="BV88" s="2" t="n">
        <v>48.9</v>
      </c>
      <c r="BW88" s="2" t="n">
        <v>3.55</v>
      </c>
      <c r="BX88" s="2" t="n">
        <v>13.68</v>
      </c>
      <c r="BY88" s="2" t="n">
        <v>11.89</v>
      </c>
      <c r="BZ88" s="2" t="n">
        <v>0.18</v>
      </c>
      <c r="CA88" s="2" t="n">
        <v>6.48</v>
      </c>
      <c r="CB88" s="2" t="n">
        <v>11.49</v>
      </c>
      <c r="CC88" s="2" t="n">
        <v>3.04</v>
      </c>
      <c r="CD88" s="2" t="n">
        <v>0.46</v>
      </c>
      <c r="CE88" s="2" t="n">
        <v>0.34</v>
      </c>
      <c r="CF88" s="2" t="n">
        <v>0.15</v>
      </c>
    </row>
    <row r="89" customFormat="false" ht="15" hidden="false" customHeight="false" outlineLevel="0" collapsed="false">
      <c r="A89" s="2" t="s">
        <v>270</v>
      </c>
      <c r="B89" s="2" t="n">
        <v>2009</v>
      </c>
      <c r="C89" s="2" t="s">
        <v>187</v>
      </c>
      <c r="D89" s="2" t="s">
        <v>188</v>
      </c>
      <c r="E89" s="2" t="n">
        <v>228</v>
      </c>
      <c r="F89" s="2" t="s">
        <v>271</v>
      </c>
      <c r="G89" s="2" t="s">
        <v>93</v>
      </c>
      <c r="H89" s="2" t="s">
        <v>89</v>
      </c>
      <c r="I89" s="2" t="n">
        <v>1</v>
      </c>
      <c r="J89" s="2" t="s">
        <v>90</v>
      </c>
      <c r="K89" s="2" t="n">
        <v>51.5004314088939</v>
      </c>
      <c r="L89" s="2" t="n">
        <v>1.0949</v>
      </c>
      <c r="M89" s="2" t="n">
        <v>3.13</v>
      </c>
      <c r="N89" s="2" t="n">
        <v>7.69</v>
      </c>
      <c r="O89" s="2" t="n">
        <v>0.2159</v>
      </c>
      <c r="P89" s="2" t="n">
        <v>16.3645836608001</v>
      </c>
      <c r="Q89" s="2" t="n">
        <v>19.2574814082695</v>
      </c>
      <c r="R89" s="2" t="n">
        <v>0.2402</v>
      </c>
      <c r="S89" s="2" t="n">
        <v>0</v>
      </c>
      <c r="T89" s="2" t="n">
        <v>0.2093</v>
      </c>
      <c r="U89" s="2" t="n">
        <v>99.7027964779635</v>
      </c>
      <c r="V89" s="2" t="n">
        <v>2.70132147610911</v>
      </c>
      <c r="W89" s="2" t="n">
        <v>1.90382492641058</v>
      </c>
      <c r="X89" s="2" t="n">
        <v>0.0304500905579638</v>
      </c>
      <c r="Y89" s="2" t="n">
        <v>0.136368865045375</v>
      </c>
      <c r="Z89" s="2" t="n">
        <v>0.237744683897947</v>
      </c>
      <c r="AA89" s="2" t="n">
        <v>0.901844766949842</v>
      </c>
      <c r="AB89" s="2" t="n">
        <v>0.762763134111182</v>
      </c>
      <c r="AC89" s="2" t="n">
        <v>0.0172160459425102</v>
      </c>
      <c r="AD89" s="2" t="n">
        <v>0</v>
      </c>
      <c r="AE89" s="2" t="n">
        <v>0.00611700994807549</v>
      </c>
      <c r="AF89" s="2" t="n">
        <v>0.00675993561127703</v>
      </c>
      <c r="AG89" s="2" t="n">
        <v>0.474068148081652</v>
      </c>
      <c r="AH89" s="2" t="n">
        <v>0.124974037819112</v>
      </c>
      <c r="AI89" s="2" t="n">
        <v>0.400957814099237</v>
      </c>
      <c r="AJ89" s="2" t="n">
        <v>79.1376900057228</v>
      </c>
      <c r="AK89" s="2" t="n">
        <v>0.0961681488572563</v>
      </c>
      <c r="AL89" s="2" t="n">
        <v>0.040201893092547</v>
      </c>
      <c r="AM89" s="2" t="n">
        <v>0.0172162222996873</v>
      </c>
      <c r="AN89" s="2" t="n">
        <v>0.0229856707928597</v>
      </c>
      <c r="AO89" s="2" t="n">
        <v>0.0365912390321983</v>
      </c>
      <c r="AP89" s="2" t="n">
        <v>0.105569045137891</v>
      </c>
      <c r="AQ89" s="2" t="n">
        <v>0</v>
      </c>
      <c r="AR89" s="2" t="n">
        <v>0.307703892778882</v>
      </c>
      <c r="AS89" s="2" t="n">
        <v>1116.34436035156</v>
      </c>
      <c r="AT89" s="2" t="n">
        <v>1105.24970397949</v>
      </c>
      <c r="AU89" s="2" t="n">
        <v>1123.56842651367</v>
      </c>
      <c r="AV89" s="2" t="n">
        <v>0.370832517654583</v>
      </c>
      <c r="AW89" s="2" t="n">
        <v>0</v>
      </c>
      <c r="AX89" s="2" t="n">
        <v>1.07898726154664</v>
      </c>
      <c r="AY89" s="2" t="n">
        <v>1.68099463027481</v>
      </c>
      <c r="AZ89" s="2" t="n">
        <v>0.178290913243457</v>
      </c>
      <c r="BA89" s="2" t="n">
        <v>1.035299985104</v>
      </c>
      <c r="BB89" s="2" t="n">
        <v>2.31436488776922</v>
      </c>
      <c r="BC89" s="2" t="n">
        <v>1451.10431135101</v>
      </c>
      <c r="BD89" s="2" t="n">
        <v>3.43158079290942</v>
      </c>
      <c r="BE89" s="2" t="n">
        <v>44</v>
      </c>
      <c r="BF89" s="2" t="n">
        <v>44</v>
      </c>
      <c r="BG89" s="2" t="n">
        <v>5.82458900928871</v>
      </c>
      <c r="BH89" s="2" t="n">
        <v>0.62588985608539</v>
      </c>
      <c r="BI89" s="2" t="n">
        <v>3.60753428203472</v>
      </c>
      <c r="BJ89" s="2" t="n">
        <v>7.97478007844551</v>
      </c>
      <c r="BK89" s="2" t="n">
        <v>0.31260846172933</v>
      </c>
      <c r="BL89" s="2" t="n">
        <v>0</v>
      </c>
      <c r="BM89" s="2" t="n">
        <v>0.893230029391891</v>
      </c>
      <c r="BN89" s="2" t="n">
        <v>44000</v>
      </c>
      <c r="BO89" s="2" t="n">
        <v>1163.02874755859</v>
      </c>
      <c r="BP89" s="2" t="n">
        <v>1155.1216583252</v>
      </c>
      <c r="BQ89" s="2" t="n">
        <v>1166.06445617676</v>
      </c>
      <c r="BR89" s="2" t="n">
        <v>44000</v>
      </c>
      <c r="BS89" s="2" t="n">
        <v>1.0961390518687</v>
      </c>
      <c r="BT89" s="2" t="n">
        <v>0</v>
      </c>
      <c r="BU89" s="2" t="n">
        <v>3.1163323058111</v>
      </c>
      <c r="BV89" s="2" t="n">
        <v>48.77</v>
      </c>
      <c r="BW89" s="2" t="n">
        <v>3.43</v>
      </c>
      <c r="BX89" s="2" t="n">
        <v>13.84</v>
      </c>
      <c r="BY89" s="2" t="n">
        <v>11.98</v>
      </c>
      <c r="BZ89" s="2" t="n">
        <v>0.17</v>
      </c>
      <c r="CA89" s="2" t="n">
        <v>6.53</v>
      </c>
      <c r="CB89" s="2" t="n">
        <v>11.6</v>
      </c>
      <c r="CC89" s="2" t="n">
        <v>2.96</v>
      </c>
      <c r="CD89" s="2" t="n">
        <v>0.45</v>
      </c>
      <c r="CE89" s="2" t="n">
        <v>0.27</v>
      </c>
      <c r="CF89" s="2" t="n">
        <v>0.15</v>
      </c>
    </row>
    <row r="90" customFormat="false" ht="15" hidden="false" customHeight="false" outlineLevel="0" collapsed="false">
      <c r="A90" s="2" t="s">
        <v>272</v>
      </c>
      <c r="B90" s="2" t="n">
        <v>2009</v>
      </c>
      <c r="C90" s="2" t="s">
        <v>187</v>
      </c>
      <c r="D90" s="2" t="s">
        <v>188</v>
      </c>
      <c r="E90" s="2" t="n">
        <v>229</v>
      </c>
      <c r="F90" s="2" t="s">
        <v>273</v>
      </c>
      <c r="G90" s="2" t="s">
        <v>88</v>
      </c>
      <c r="H90" s="2" t="s">
        <v>94</v>
      </c>
      <c r="I90" s="2" t="n">
        <v>1</v>
      </c>
      <c r="J90" s="2" t="s">
        <v>90</v>
      </c>
      <c r="K90" s="2" t="n">
        <v>49.2068081148349</v>
      </c>
      <c r="L90" s="2" t="n">
        <v>1.95</v>
      </c>
      <c r="M90" s="2" t="n">
        <v>4.75</v>
      </c>
      <c r="N90" s="2" t="n">
        <v>7.31</v>
      </c>
      <c r="O90" s="2" t="n">
        <v>0.142</v>
      </c>
      <c r="P90" s="2" t="n">
        <v>14.5206869102874</v>
      </c>
      <c r="Q90" s="2" t="n">
        <v>21.0745877418506</v>
      </c>
      <c r="R90" s="2" t="n">
        <v>0.3503</v>
      </c>
      <c r="S90" s="2" t="n">
        <v>0</v>
      </c>
      <c r="T90" s="2" t="n">
        <v>0.556</v>
      </c>
      <c r="U90" s="2" t="n">
        <v>99.8603827669729</v>
      </c>
      <c r="V90" s="2" t="n">
        <v>2.6829955515035</v>
      </c>
      <c r="W90" s="2" t="n">
        <v>1.83146091563392</v>
      </c>
      <c r="X90" s="2" t="n">
        <v>0.0546015615019761</v>
      </c>
      <c r="Y90" s="2" t="n">
        <v>0.208363103191255</v>
      </c>
      <c r="Z90" s="2" t="n">
        <v>0.227540218374277</v>
      </c>
      <c r="AA90" s="2" t="n">
        <v>0.80569433317259</v>
      </c>
      <c r="AB90" s="2" t="n">
        <v>0.840437870754893</v>
      </c>
      <c r="AC90" s="2" t="n">
        <v>0.0252788239842819</v>
      </c>
      <c r="AD90" s="2" t="n">
        <v>0</v>
      </c>
      <c r="AE90" s="2" t="n">
        <v>0.0163606693936173</v>
      </c>
      <c r="AF90" s="2" t="n">
        <v>0.00447645867985418</v>
      </c>
      <c r="AG90" s="2" t="n">
        <v>0.430008107918253</v>
      </c>
      <c r="AH90" s="2" t="n">
        <v>0.121440768229246</v>
      </c>
      <c r="AI90" s="2" t="n">
        <v>0.448551123852501</v>
      </c>
      <c r="AJ90" s="2" t="n">
        <v>77.9778736557325</v>
      </c>
      <c r="AK90" s="2" t="n">
        <v>0.168530272560886</v>
      </c>
      <c r="AL90" s="2" t="n">
        <v>0.0398348735028558</v>
      </c>
      <c r="AM90" s="2" t="n">
        <v>0.0252791126142305</v>
      </c>
      <c r="AN90" s="2" t="n">
        <v>0.0145557608886252</v>
      </c>
      <c r="AO90" s="2" t="n">
        <v>0.0769872558361301</v>
      </c>
      <c r="AP90" s="2" t="n">
        <v>1.25093887171411</v>
      </c>
      <c r="AQ90" s="2" t="n">
        <v>0.948150646897786</v>
      </c>
      <c r="AR90" s="2" t="n">
        <v>1.80903961381578</v>
      </c>
      <c r="AS90" s="2" t="n">
        <v>1114.86669921875</v>
      </c>
      <c r="AT90" s="2" t="n">
        <v>1106.66612243652</v>
      </c>
      <c r="AU90" s="2" t="n">
        <v>1117.84321289063</v>
      </c>
      <c r="AV90" s="2" t="n">
        <v>4.35076108281844</v>
      </c>
      <c r="AW90" s="2" t="n">
        <v>3.30636347305678</v>
      </c>
      <c r="AX90" s="2" t="n">
        <v>6.26124186118695</v>
      </c>
      <c r="AY90" s="2" t="n">
        <v>3.38055842284756</v>
      </c>
      <c r="AZ90" s="2" t="n">
        <v>0.165371984970757</v>
      </c>
      <c r="BA90" s="2" t="n">
        <v>2.96888674034717</v>
      </c>
      <c r="BB90" s="2" t="n">
        <v>3.81388465628068</v>
      </c>
      <c r="BC90" s="2" t="n">
        <v>1449.68168569392</v>
      </c>
      <c r="BD90" s="2" t="n">
        <v>3.11407936604937</v>
      </c>
      <c r="BE90" s="2" t="n">
        <v>5</v>
      </c>
      <c r="BF90" s="2" t="n">
        <v>5</v>
      </c>
      <c r="BG90" s="2" t="n">
        <v>11.5394316488061</v>
      </c>
      <c r="BH90" s="2" t="n">
        <v>0.580602720788264</v>
      </c>
      <c r="BI90" s="2" t="n">
        <v>10.1712359495332</v>
      </c>
      <c r="BJ90" s="2" t="n">
        <v>12.9685018630234</v>
      </c>
      <c r="BK90" s="2" t="n">
        <v>1.14454809028345</v>
      </c>
      <c r="BL90" s="2" t="n">
        <v>0.767294413171232</v>
      </c>
      <c r="BM90" s="2" t="n">
        <v>1.69736682254299</v>
      </c>
      <c r="BN90" s="2" t="n">
        <v>5000</v>
      </c>
      <c r="BO90" s="2" t="n">
        <v>1153.21661376953</v>
      </c>
      <c r="BP90" s="2" t="n">
        <v>1144.26788635254</v>
      </c>
      <c r="BQ90" s="2" t="n">
        <v>1157.95365600586</v>
      </c>
      <c r="BR90" s="2" t="n">
        <v>5000</v>
      </c>
      <c r="BS90" s="2" t="n">
        <v>3.98442392359915</v>
      </c>
      <c r="BT90" s="2" t="n">
        <v>2.67989158355928</v>
      </c>
      <c r="BU90" s="2" t="n">
        <v>5.88047607123172</v>
      </c>
      <c r="BV90" s="2" t="n">
        <v>48.26</v>
      </c>
      <c r="BW90" s="2" t="n">
        <v>3.66</v>
      </c>
      <c r="BX90" s="2" t="n">
        <v>13.59</v>
      </c>
      <c r="BY90" s="2" t="n">
        <v>12.44</v>
      </c>
      <c r="BZ90" s="2" t="n">
        <v>0.2</v>
      </c>
      <c r="CA90" s="2" t="n">
        <v>6.41</v>
      </c>
      <c r="CB90" s="2" t="n">
        <v>11.52</v>
      </c>
      <c r="CC90" s="2" t="n">
        <v>3.18</v>
      </c>
      <c r="CD90" s="2" t="n">
        <v>0.46</v>
      </c>
      <c r="CE90" s="2" t="n">
        <v>0.3</v>
      </c>
      <c r="CF90" s="2" t="n">
        <v>0.15</v>
      </c>
    </row>
    <row r="91" customFormat="false" ht="15" hidden="false" customHeight="false" outlineLevel="0" collapsed="false">
      <c r="A91" s="2" t="s">
        <v>274</v>
      </c>
      <c r="B91" s="2" t="n">
        <v>2009</v>
      </c>
      <c r="C91" s="2" t="s">
        <v>187</v>
      </c>
      <c r="D91" s="2" t="s">
        <v>188</v>
      </c>
      <c r="E91" s="2" t="n">
        <v>230</v>
      </c>
      <c r="F91" s="2" t="s">
        <v>275</v>
      </c>
      <c r="G91" s="2" t="s">
        <v>97</v>
      </c>
      <c r="H91" s="2" t="s">
        <v>89</v>
      </c>
      <c r="I91" s="2" t="n">
        <v>1</v>
      </c>
      <c r="J91" s="2" t="s">
        <v>90</v>
      </c>
      <c r="K91" s="2" t="n">
        <v>52.1369876535006</v>
      </c>
      <c r="L91" s="2" t="n">
        <v>1.009</v>
      </c>
      <c r="M91" s="2" t="n">
        <v>2.3</v>
      </c>
      <c r="N91" s="2" t="n">
        <v>7.68</v>
      </c>
      <c r="O91" s="2" t="n">
        <v>0.1906</v>
      </c>
      <c r="P91" s="2" t="n">
        <v>17.0368376844246</v>
      </c>
      <c r="Q91" s="2" t="n">
        <v>18.8248370431312</v>
      </c>
      <c r="R91" s="2" t="n">
        <v>0.2425</v>
      </c>
      <c r="S91" s="2" t="n">
        <v>0</v>
      </c>
      <c r="T91" s="2" t="n">
        <v>0.1968</v>
      </c>
      <c r="U91" s="2" t="n">
        <v>99.6175623810563</v>
      </c>
      <c r="V91" s="2" t="n">
        <v>2.7041970818708</v>
      </c>
      <c r="W91" s="2" t="n">
        <v>1.92530708155336</v>
      </c>
      <c r="X91" s="2" t="n">
        <v>0.0280312994302197</v>
      </c>
      <c r="Y91" s="2" t="n">
        <v>0.10010059432795</v>
      </c>
      <c r="Z91" s="2" t="n">
        <v>0.237183037410555</v>
      </c>
      <c r="AA91" s="2" t="n">
        <v>0.937893975448558</v>
      </c>
      <c r="AB91" s="2" t="n">
        <v>0.74483377920981</v>
      </c>
      <c r="AC91" s="2" t="n">
        <v>0.0173624130707034</v>
      </c>
      <c r="AD91" s="2" t="n">
        <v>0</v>
      </c>
      <c r="AE91" s="2" t="n">
        <v>0.0057455681997727</v>
      </c>
      <c r="AF91" s="2" t="n">
        <v>0.00596143406334613</v>
      </c>
      <c r="AG91" s="2" t="n">
        <v>0.488509142884639</v>
      </c>
      <c r="AH91" s="2" t="n">
        <v>0.123538571891126</v>
      </c>
      <c r="AI91" s="2" t="n">
        <v>0.387952285224235</v>
      </c>
      <c r="AJ91" s="2" t="n">
        <v>79.8155325297822</v>
      </c>
      <c r="AK91" s="2" t="n">
        <v>0.0746860432119088</v>
      </c>
      <c r="AL91" s="2" t="n">
        <v>0.0254154083783798</v>
      </c>
      <c r="AM91" s="2" t="n">
        <v>0.0173625897762217</v>
      </c>
      <c r="AN91" s="2" t="n">
        <v>0.00805281860215814</v>
      </c>
      <c r="AO91" s="2" t="n">
        <v>0.0333166123048753</v>
      </c>
      <c r="AP91" s="2" t="n">
        <v>0</v>
      </c>
      <c r="AQ91" s="2" t="n">
        <v>0</v>
      </c>
      <c r="AR91" s="2" t="n">
        <v>0.101025134965969</v>
      </c>
      <c r="AS91" s="2" t="n">
        <v>1136.80493164063</v>
      </c>
      <c r="AT91" s="2" t="n">
        <v>1117.12850341797</v>
      </c>
      <c r="AU91" s="2" t="n">
        <v>1140.76921386719</v>
      </c>
      <c r="AV91" s="2" t="n">
        <v>0</v>
      </c>
      <c r="AW91" s="2" t="n">
        <v>0</v>
      </c>
      <c r="AX91" s="2" t="n">
        <v>0.354885027866636</v>
      </c>
      <c r="AY91" s="2" t="n">
        <v>1.3158944533305</v>
      </c>
      <c r="AZ91" s="2"/>
      <c r="BA91" s="2" t="n">
        <v>0.784901475173995</v>
      </c>
      <c r="BB91" s="2" t="n">
        <v>1.85221744409523</v>
      </c>
      <c r="BC91" s="2" t="n">
        <v>1446.17468513665</v>
      </c>
      <c r="BD91" s="2"/>
      <c r="BE91" s="2" t="n">
        <v>1</v>
      </c>
      <c r="BF91" s="2" t="n">
        <v>1</v>
      </c>
      <c r="BG91" s="2" t="n">
        <v>4.57408648863183</v>
      </c>
      <c r="BH91" s="2"/>
      <c r="BI91" s="2" t="n">
        <v>2.74096816569462</v>
      </c>
      <c r="BJ91" s="2" t="n">
        <v>6.40826081505002</v>
      </c>
      <c r="BK91" s="2" t="n">
        <v>0</v>
      </c>
      <c r="BL91" s="2" t="n">
        <v>0</v>
      </c>
      <c r="BM91" s="2" t="n">
        <v>0</v>
      </c>
      <c r="BN91" s="2" t="n">
        <v>1000</v>
      </c>
      <c r="BO91" s="2" t="n">
        <v>1154.31872558594</v>
      </c>
      <c r="BP91" s="2" t="n">
        <v>1151.39696655273</v>
      </c>
      <c r="BQ91" s="2" t="n">
        <v>1156.66062011719</v>
      </c>
      <c r="BR91" s="2" t="n">
        <v>1000</v>
      </c>
      <c r="BS91" s="2" t="n">
        <v>0</v>
      </c>
      <c r="BT91" s="2" t="n">
        <v>0</v>
      </c>
      <c r="BU91" s="2" t="n">
        <v>0</v>
      </c>
      <c r="BV91" s="2" t="n">
        <v>48.45</v>
      </c>
      <c r="BW91" s="2" t="n">
        <v>3.92</v>
      </c>
      <c r="BX91" s="2" t="n">
        <v>13.27</v>
      </c>
      <c r="BY91" s="2" t="n">
        <v>12.7</v>
      </c>
      <c r="BZ91" s="2" t="n">
        <v>0.19</v>
      </c>
      <c r="CA91" s="2" t="n">
        <v>6.25</v>
      </c>
      <c r="CB91" s="2" t="n">
        <v>11.23</v>
      </c>
      <c r="CC91" s="2" t="n">
        <v>3.16</v>
      </c>
      <c r="CD91" s="2" t="n">
        <v>0.5</v>
      </c>
      <c r="CE91" s="2" t="n">
        <v>0.33</v>
      </c>
      <c r="CF91" s="2" t="n">
        <v>0.15</v>
      </c>
    </row>
    <row r="92" customFormat="false" ht="15" hidden="false" customHeight="false" outlineLevel="0" collapsed="false">
      <c r="A92" s="2" t="s">
        <v>276</v>
      </c>
      <c r="B92" s="2" t="n">
        <v>2009</v>
      </c>
      <c r="C92" s="2" t="s">
        <v>187</v>
      </c>
      <c r="D92" s="2" t="s">
        <v>188</v>
      </c>
      <c r="E92" s="2" t="n">
        <v>231</v>
      </c>
      <c r="F92" s="2" t="s">
        <v>277</v>
      </c>
      <c r="G92" s="2" t="s">
        <v>93</v>
      </c>
      <c r="H92" s="2" t="s">
        <v>94</v>
      </c>
      <c r="I92" s="2" t="n">
        <v>1</v>
      </c>
      <c r="J92" s="2" t="s">
        <v>90</v>
      </c>
      <c r="K92" s="2" t="n">
        <v>48.1458810404904</v>
      </c>
      <c r="L92" s="2" t="n">
        <v>2.22</v>
      </c>
      <c r="M92" s="2" t="n">
        <v>5.46</v>
      </c>
      <c r="N92" s="2" t="n">
        <v>7.7</v>
      </c>
      <c r="O92" s="2" t="n">
        <v>0.1568</v>
      </c>
      <c r="P92" s="2" t="n">
        <v>14.4342542501072</v>
      </c>
      <c r="Q92" s="2" t="n">
        <v>20.1516130962221</v>
      </c>
      <c r="R92" s="2" t="n">
        <v>0.3537</v>
      </c>
      <c r="S92" s="2" t="n">
        <v>0</v>
      </c>
      <c r="T92" s="2" t="n">
        <v>0.5511</v>
      </c>
      <c r="U92" s="2" t="n">
        <v>99.1733483868197</v>
      </c>
      <c r="V92" s="2" t="n">
        <v>2.60673031815173</v>
      </c>
      <c r="W92" s="2" t="n">
        <v>1.84440142143751</v>
      </c>
      <c r="X92" s="2" t="n">
        <v>0.0639804478077261</v>
      </c>
      <c r="Y92" s="2" t="n">
        <v>0.246515198055604</v>
      </c>
      <c r="Z92" s="2" t="n">
        <v>0.246692171712519</v>
      </c>
      <c r="AA92" s="2" t="n">
        <v>0.824330460198342</v>
      </c>
      <c r="AB92" s="2" t="n">
        <v>0.827142224943339</v>
      </c>
      <c r="AC92" s="2" t="n">
        <v>0.0262709415334129</v>
      </c>
      <c r="AD92" s="2" t="n">
        <v>0</v>
      </c>
      <c r="AE92" s="2" t="n">
        <v>0.0166909300740741</v>
      </c>
      <c r="AF92" s="2" t="n">
        <v>0.00508763730955942</v>
      </c>
      <c r="AG92" s="2" t="n">
        <v>0.43427759039038</v>
      </c>
      <c r="AH92" s="2" t="n">
        <v>0.129963512295428</v>
      </c>
      <c r="AI92" s="2" t="n">
        <v>0.435758897314193</v>
      </c>
      <c r="AJ92" s="2" t="n">
        <v>76.966670510745</v>
      </c>
      <c r="AK92" s="2"/>
      <c r="AL92" s="2"/>
      <c r="AM92" s="2"/>
      <c r="AN92" s="2"/>
      <c r="AO92" s="2"/>
      <c r="AP92" s="2" t="n">
        <v>2.30371114053168</v>
      </c>
      <c r="AQ92" s="2" t="n">
        <v>2.00450816788115</v>
      </c>
      <c r="AR92" s="2" t="n">
        <v>3.15554013885893</v>
      </c>
      <c r="AS92" s="2" t="n">
        <v>1121.24487304688</v>
      </c>
      <c r="AT92" s="2" t="n">
        <v>1117.48611450195</v>
      </c>
      <c r="AU92" s="2" t="n">
        <v>1124.64526672363</v>
      </c>
      <c r="AV92" s="2" t="n">
        <v>7.93881332291933</v>
      </c>
      <c r="AW92" s="2" t="n">
        <v>6.92590326170174</v>
      </c>
      <c r="AX92" s="2" t="n">
        <v>10.7928533371053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customFormat="false" ht="15" hidden="false" customHeight="false" outlineLevel="0" collapsed="false">
      <c r="A93" s="2" t="s">
        <v>278</v>
      </c>
      <c r="B93" s="2" t="n">
        <v>2009</v>
      </c>
      <c r="C93" s="2" t="s">
        <v>187</v>
      </c>
      <c r="D93" s="2" t="s">
        <v>188</v>
      </c>
      <c r="E93" s="2" t="n">
        <v>232</v>
      </c>
      <c r="F93" s="2" t="s">
        <v>279</v>
      </c>
      <c r="G93" s="2" t="s">
        <v>93</v>
      </c>
      <c r="H93" s="2" t="s">
        <v>94</v>
      </c>
      <c r="I93" s="2" t="n">
        <v>1</v>
      </c>
      <c r="J93" s="2" t="s">
        <v>90</v>
      </c>
      <c r="K93" s="2" t="n">
        <v>50.3384636608023</v>
      </c>
      <c r="L93" s="2" t="n">
        <v>1.5229</v>
      </c>
      <c r="M93" s="2" t="n">
        <v>3.84</v>
      </c>
      <c r="N93" s="2" t="n">
        <v>6.94</v>
      </c>
      <c r="O93" s="2" t="n">
        <v>0.1551</v>
      </c>
      <c r="P93" s="2" t="n">
        <v>15.5674824613598</v>
      </c>
      <c r="Q93" s="2" t="n">
        <v>20.4015853960798</v>
      </c>
      <c r="R93" s="2" t="n">
        <v>0.3046</v>
      </c>
      <c r="S93" s="2" t="n">
        <v>0</v>
      </c>
      <c r="T93" s="2" t="n">
        <v>0.5953</v>
      </c>
      <c r="U93" s="2" t="n">
        <v>99.6654315182419</v>
      </c>
      <c r="V93" s="2" t="n">
        <v>2.69223821991628</v>
      </c>
      <c r="W93" s="2" t="n">
        <v>1.86714860391119</v>
      </c>
      <c r="X93" s="2" t="n">
        <v>0.042496024667771</v>
      </c>
      <c r="Y93" s="2" t="n">
        <v>0.1678668336901</v>
      </c>
      <c r="Z93" s="2" t="n">
        <v>0.215281510176239</v>
      </c>
      <c r="AA93" s="2" t="n">
        <v>0.86081138043095</v>
      </c>
      <c r="AB93" s="2" t="n">
        <v>0.810805919676294</v>
      </c>
      <c r="AC93" s="2" t="n">
        <v>0.0219054961829322</v>
      </c>
      <c r="AD93" s="2" t="n">
        <v>0</v>
      </c>
      <c r="AE93" s="2" t="n">
        <v>0.0174569604098637</v>
      </c>
      <c r="AF93" s="2" t="n">
        <v>0.00487264196001914</v>
      </c>
      <c r="AG93" s="2" t="n">
        <v>0.456204315641931</v>
      </c>
      <c r="AH93" s="2" t="n">
        <v>0.114092769046738</v>
      </c>
      <c r="AI93" s="2" t="n">
        <v>0.429702915311331</v>
      </c>
      <c r="AJ93" s="2" t="n">
        <v>79.9941518008947</v>
      </c>
      <c r="AK93" s="2" t="n">
        <v>0.132843624044182</v>
      </c>
      <c r="AL93" s="2" t="n">
        <v>0.0350247465593119</v>
      </c>
      <c r="AM93" s="2" t="n">
        <v>0.0219057320836217</v>
      </c>
      <c r="AN93" s="2" t="n">
        <v>0.0131190144756901</v>
      </c>
      <c r="AO93" s="2" t="n">
        <v>0.0598623047842459</v>
      </c>
      <c r="AP93" s="2" t="n">
        <v>1.43533687210506</v>
      </c>
      <c r="AQ93" s="2" t="n">
        <v>1.1321903190655</v>
      </c>
      <c r="AR93" s="2" t="n">
        <v>1.92530908203548</v>
      </c>
      <c r="AS93" s="2" t="n">
        <v>1096.49548339844</v>
      </c>
      <c r="AT93" s="2" t="n">
        <v>1088.9384765625</v>
      </c>
      <c r="AU93" s="2" t="n">
        <v>1103.60839233398</v>
      </c>
      <c r="AV93" s="2" t="n">
        <v>4.98407709296051</v>
      </c>
      <c r="AW93" s="2" t="n">
        <v>3.94182773876926</v>
      </c>
      <c r="AX93" s="2" t="n">
        <v>6.65687770516907</v>
      </c>
      <c r="AY93" s="2" t="n">
        <v>2.94823660346114</v>
      </c>
      <c r="AZ93" s="2" t="n">
        <v>0.160945243520362</v>
      </c>
      <c r="BA93" s="2" t="n">
        <v>2.37507685343167</v>
      </c>
      <c r="BB93" s="2" t="n">
        <v>3.48580718024467</v>
      </c>
      <c r="BC93" s="2" t="n">
        <v>1456.45051670771</v>
      </c>
      <c r="BD93" s="2" t="n">
        <v>3.28567595181685</v>
      </c>
      <c r="BE93" s="2" t="n">
        <v>76</v>
      </c>
      <c r="BF93" s="2" t="n">
        <v>76</v>
      </c>
      <c r="BG93" s="2" t="n">
        <v>10.1023344722884</v>
      </c>
      <c r="BH93" s="2" t="n">
        <v>0.565082509539462</v>
      </c>
      <c r="BI93" s="2" t="n">
        <v>8.17961071017128</v>
      </c>
      <c r="BJ93" s="2" t="n">
        <v>11.8875786585775</v>
      </c>
      <c r="BK93" s="2" t="n">
        <v>1.27891390748028</v>
      </c>
      <c r="BL93" s="2" t="n">
        <v>0.649858560951232</v>
      </c>
      <c r="BM93" s="2" t="n">
        <v>1.9251961550296</v>
      </c>
      <c r="BN93" s="2" t="n">
        <v>76000</v>
      </c>
      <c r="BO93" s="2" t="n">
        <v>1162.73425292969</v>
      </c>
      <c r="BP93" s="2" t="n">
        <v>1154.55782775879</v>
      </c>
      <c r="BQ93" s="2" t="n">
        <v>1166.42285461426</v>
      </c>
      <c r="BR93" s="2" t="n">
        <v>76000</v>
      </c>
      <c r="BS93" s="2" t="n">
        <v>4.44697409759271</v>
      </c>
      <c r="BT93" s="2" t="n">
        <v>2.27204153512642</v>
      </c>
      <c r="BU93" s="2" t="n">
        <v>6.65649384033774</v>
      </c>
      <c r="BV93" s="2" t="n">
        <v>48.77</v>
      </c>
      <c r="BW93" s="2" t="n">
        <v>3.43</v>
      </c>
      <c r="BX93" s="2" t="n">
        <v>13.84</v>
      </c>
      <c r="BY93" s="2" t="n">
        <v>11.98</v>
      </c>
      <c r="BZ93" s="2" t="n">
        <v>0.17</v>
      </c>
      <c r="CA93" s="2" t="n">
        <v>6.53</v>
      </c>
      <c r="CB93" s="2" t="n">
        <v>11.6</v>
      </c>
      <c r="CC93" s="2" t="n">
        <v>2.96</v>
      </c>
      <c r="CD93" s="2" t="n">
        <v>0.45</v>
      </c>
      <c r="CE93" s="2" t="n">
        <v>0.27</v>
      </c>
      <c r="CF93" s="2" t="n">
        <v>0.15</v>
      </c>
    </row>
    <row r="94" customFormat="false" ht="15" hidden="false" customHeight="false" outlineLevel="0" collapsed="false">
      <c r="A94" s="2" t="s">
        <v>280</v>
      </c>
      <c r="B94" s="2" t="n">
        <v>2009</v>
      </c>
      <c r="C94" s="2" t="s">
        <v>281</v>
      </c>
      <c r="D94" s="2" t="s">
        <v>282</v>
      </c>
      <c r="E94" s="2" t="n">
        <v>9</v>
      </c>
      <c r="F94" s="2" t="s">
        <v>283</v>
      </c>
      <c r="G94" s="2" t="s">
        <v>93</v>
      </c>
      <c r="H94" s="2" t="s">
        <v>89</v>
      </c>
      <c r="I94" s="2" t="n">
        <v>1</v>
      </c>
      <c r="J94" s="2" t="s">
        <v>163</v>
      </c>
      <c r="K94" s="2" t="n">
        <v>51.1914343023356</v>
      </c>
      <c r="L94" s="2" t="n">
        <v>1.0379</v>
      </c>
      <c r="M94" s="2" t="n">
        <v>2.13</v>
      </c>
      <c r="N94" s="2" t="n">
        <v>7.76</v>
      </c>
      <c r="O94" s="2" t="n">
        <v>0.2048</v>
      </c>
      <c r="P94" s="2" t="n">
        <v>17.2226268407094</v>
      </c>
      <c r="Q94" s="2" t="n">
        <v>17.5678532890032</v>
      </c>
      <c r="R94" s="2" t="n">
        <v>0.2282</v>
      </c>
      <c r="S94" s="2" t="n">
        <v>0.0013</v>
      </c>
      <c r="T94" s="2" t="n">
        <v>0.1638</v>
      </c>
      <c r="U94" s="2" t="n">
        <v>97.5079144320482</v>
      </c>
      <c r="V94" s="2" t="n">
        <v>2.62509297207417</v>
      </c>
      <c r="W94" s="2" t="n">
        <v>1.94735451403305</v>
      </c>
      <c r="X94" s="2" t="n">
        <v>0.0297030623450624</v>
      </c>
      <c r="Y94" s="2" t="n">
        <v>0.0954953168356872</v>
      </c>
      <c r="Z94" s="2" t="n">
        <v>0.246875378131152</v>
      </c>
      <c r="AA94" s="2" t="n">
        <v>0.976692387708806</v>
      </c>
      <c r="AB94" s="2" t="n">
        <v>0.716045278313301</v>
      </c>
      <c r="AC94" s="2" t="n">
        <v>0.0168309113299804</v>
      </c>
      <c r="AD94" s="2" t="n">
        <v>6.30887697499397E-005</v>
      </c>
      <c r="AE94" s="2" t="n">
        <v>0.00492623854412286</v>
      </c>
      <c r="AF94" s="2" t="n">
        <v>0.00659859466106185</v>
      </c>
      <c r="AG94" s="2" t="n">
        <v>0.503550123388236</v>
      </c>
      <c r="AH94" s="2" t="n">
        <v>0.127280737194117</v>
      </c>
      <c r="AI94" s="2" t="n">
        <v>0.369169139417647</v>
      </c>
      <c r="AJ94" s="2" t="n">
        <v>79.823317921286</v>
      </c>
      <c r="AK94" s="2"/>
      <c r="AL94" s="2"/>
      <c r="AM94" s="2"/>
      <c r="AN94" s="2"/>
      <c r="AO94" s="2"/>
      <c r="AP94" s="2" t="n">
        <v>0</v>
      </c>
      <c r="AQ94" s="2" t="n">
        <v>0</v>
      </c>
      <c r="AR94" s="2" t="n">
        <v>0.175475262548043</v>
      </c>
      <c r="AS94" s="2" t="n">
        <v>1144.50170898438</v>
      </c>
      <c r="AT94" s="2" t="n">
        <v>1139.64024963379</v>
      </c>
      <c r="AU94" s="2" t="n">
        <v>1147.2366973877</v>
      </c>
      <c r="AV94" s="2" t="n">
        <v>0</v>
      </c>
      <c r="AW94" s="2" t="n">
        <v>0</v>
      </c>
      <c r="AX94" s="2" t="n">
        <v>0.616020491089346</v>
      </c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customFormat="false" ht="15" hidden="false" customHeight="false" outlineLevel="0" collapsed="false">
      <c r="A95" s="2" t="s">
        <v>284</v>
      </c>
      <c r="B95" s="2" t="n">
        <v>2009</v>
      </c>
      <c r="C95" s="2" t="s">
        <v>281</v>
      </c>
      <c r="D95" s="2" t="s">
        <v>282</v>
      </c>
      <c r="E95" s="2" t="n">
        <v>10</v>
      </c>
      <c r="F95" s="2" t="s">
        <v>285</v>
      </c>
      <c r="G95" s="2" t="s">
        <v>93</v>
      </c>
      <c r="H95" s="2" t="s">
        <v>94</v>
      </c>
      <c r="I95" s="2" t="n">
        <v>1</v>
      </c>
      <c r="J95" s="2" t="s">
        <v>163</v>
      </c>
      <c r="K95" s="2" t="n">
        <v>47.6917652383757</v>
      </c>
      <c r="L95" s="2" t="n">
        <v>2.39</v>
      </c>
      <c r="M95" s="2" t="n">
        <v>5.5</v>
      </c>
      <c r="N95" s="2" t="n">
        <v>8.36</v>
      </c>
      <c r="O95" s="2" t="n">
        <v>0.169</v>
      </c>
      <c r="P95" s="2" t="n">
        <v>14.2455173586723</v>
      </c>
      <c r="Q95" s="2" t="n">
        <v>19.3580824595512</v>
      </c>
      <c r="R95" s="2" t="n">
        <v>0.3463</v>
      </c>
      <c r="S95" s="2" t="n">
        <v>0</v>
      </c>
      <c r="T95" s="2" t="n">
        <v>0.1887</v>
      </c>
      <c r="U95" s="2" t="n">
        <v>98.2493650565992</v>
      </c>
      <c r="V95" s="2" t="n">
        <v>2.57604402395329</v>
      </c>
      <c r="W95" s="2" t="n">
        <v>1.84876848646133</v>
      </c>
      <c r="X95" s="2" t="n">
        <v>0.0697003604999132</v>
      </c>
      <c r="Y95" s="2" t="n">
        <v>0.251279216110786</v>
      </c>
      <c r="Z95" s="2" t="n">
        <v>0.271027739504239</v>
      </c>
      <c r="AA95" s="2" t="n">
        <v>0.823242998378172</v>
      </c>
      <c r="AB95" s="2" t="n">
        <v>0.804036072297403</v>
      </c>
      <c r="AC95" s="2" t="n">
        <v>0.0260277059745627</v>
      </c>
      <c r="AD95" s="2" t="n">
        <v>0</v>
      </c>
      <c r="AE95" s="2" t="n">
        <v>0.0057831552238</v>
      </c>
      <c r="AF95" s="2" t="n">
        <v>0.00554880690837369</v>
      </c>
      <c r="AG95" s="2" t="n">
        <v>0.433672256751896</v>
      </c>
      <c r="AH95" s="2" t="n">
        <v>0.142773411574374</v>
      </c>
      <c r="AI95" s="2" t="n">
        <v>0.423554331673731</v>
      </c>
      <c r="AJ95" s="2" t="n">
        <v>75.2321130300239</v>
      </c>
      <c r="AK95" s="2"/>
      <c r="AL95" s="2"/>
      <c r="AM95" s="2"/>
      <c r="AN95" s="2"/>
      <c r="AO95" s="2"/>
      <c r="AP95" s="2" t="n">
        <v>3.17561954578594</v>
      </c>
      <c r="AQ95" s="2" t="n">
        <v>2.97518306693272</v>
      </c>
      <c r="AR95" s="2" t="n">
        <v>4.02613147815899</v>
      </c>
      <c r="AS95" s="2" t="n">
        <v>1101.96569824219</v>
      </c>
      <c r="AT95" s="2" t="n">
        <v>1099.43489379883</v>
      </c>
      <c r="AU95" s="2" t="n">
        <v>1106.91504516602</v>
      </c>
      <c r="AV95" s="2" t="n">
        <v>10.8595986081916</v>
      </c>
      <c r="AW95" s="2" t="n">
        <v>10.1922392022913</v>
      </c>
      <c r="AX95" s="2" t="n">
        <v>13.6643207032727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customFormat="false" ht="15" hidden="false" customHeight="false" outlineLevel="0" collapsed="false">
      <c r="A96" s="2" t="s">
        <v>286</v>
      </c>
      <c r="B96" s="2" t="n">
        <v>2009</v>
      </c>
      <c r="C96" s="2" t="s">
        <v>281</v>
      </c>
      <c r="D96" s="2" t="s">
        <v>282</v>
      </c>
      <c r="E96" s="2" t="n">
        <v>11</v>
      </c>
      <c r="F96" s="2" t="s">
        <v>287</v>
      </c>
      <c r="G96" s="2" t="s">
        <v>88</v>
      </c>
      <c r="H96" s="2" t="s">
        <v>94</v>
      </c>
      <c r="I96" s="2" t="n">
        <v>1</v>
      </c>
      <c r="J96" s="2" t="s">
        <v>163</v>
      </c>
      <c r="K96" s="2" t="n">
        <v>47.5814604827781</v>
      </c>
      <c r="L96" s="2" t="n">
        <v>2.65</v>
      </c>
      <c r="M96" s="2" t="n">
        <v>5.39</v>
      </c>
      <c r="N96" s="2" t="n">
        <v>8.49</v>
      </c>
      <c r="O96" s="2" t="n">
        <v>0.1817</v>
      </c>
      <c r="P96" s="2" t="n">
        <v>14.778875734933</v>
      </c>
      <c r="Q96" s="2" t="n">
        <v>18.1580387298432</v>
      </c>
      <c r="R96" s="2" t="n">
        <v>0.3121</v>
      </c>
      <c r="S96" s="2" t="n">
        <v>0</v>
      </c>
      <c r="T96" s="2" t="n">
        <v>0.2645</v>
      </c>
      <c r="U96" s="2" t="n">
        <v>97.8066749475544</v>
      </c>
      <c r="V96" s="2" t="n">
        <v>2.56390205126464</v>
      </c>
      <c r="W96" s="2" t="n">
        <v>1.85322756553618</v>
      </c>
      <c r="X96" s="2" t="n">
        <v>0.0776488178440043</v>
      </c>
      <c r="Y96" s="2" t="n">
        <v>0.247419824884824</v>
      </c>
      <c r="Z96" s="2" t="n">
        <v>0.27654576150762</v>
      </c>
      <c r="AA96" s="2" t="n">
        <v>0.858110207135479</v>
      </c>
      <c r="AB96" s="2" t="n">
        <v>0.757764031441918</v>
      </c>
      <c r="AC96" s="2" t="n">
        <v>0.0235683413745351</v>
      </c>
      <c r="AD96" s="2" t="n">
        <v>0</v>
      </c>
      <c r="AE96" s="2" t="n">
        <v>0.00814461343467838</v>
      </c>
      <c r="AF96" s="2" t="n">
        <v>0.00599404067611266</v>
      </c>
      <c r="AG96" s="2" t="n">
        <v>0.453445961835601</v>
      </c>
      <c r="AH96" s="2" t="n">
        <v>0.146133396125171</v>
      </c>
      <c r="AI96" s="2" t="n">
        <v>0.400420642039228</v>
      </c>
      <c r="AJ96" s="2" t="n">
        <v>75.6273470417353</v>
      </c>
      <c r="AK96" s="2"/>
      <c r="AL96" s="2"/>
      <c r="AM96" s="2"/>
      <c r="AN96" s="2"/>
      <c r="AO96" s="2"/>
      <c r="AP96" s="2" t="n">
        <v>4.29882851422488</v>
      </c>
      <c r="AQ96" s="2" t="n">
        <v>4.09927991212069</v>
      </c>
      <c r="AR96" s="2" t="n">
        <v>4.5744178372687</v>
      </c>
      <c r="AS96" s="2" t="n">
        <v>1114.2958984375</v>
      </c>
      <c r="AT96" s="2" t="n">
        <v>1110.70095825195</v>
      </c>
      <c r="AU96" s="2" t="n">
        <v>1120.07426757813</v>
      </c>
      <c r="AV96" s="2" t="n">
        <v>14.5543093973434</v>
      </c>
      <c r="AW96" s="2" t="n">
        <v>13.9034941403483</v>
      </c>
      <c r="AX96" s="2" t="n">
        <v>15.4491591279904</v>
      </c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customFormat="false" ht="15" hidden="false" customHeight="false" outlineLevel="0" collapsed="false">
      <c r="A97" s="2" t="s">
        <v>288</v>
      </c>
      <c r="B97" s="2" t="n">
        <v>2009</v>
      </c>
      <c r="C97" s="2" t="s">
        <v>281</v>
      </c>
      <c r="D97" s="2" t="s">
        <v>282</v>
      </c>
      <c r="E97" s="2" t="n">
        <v>12</v>
      </c>
      <c r="F97" s="2" t="s">
        <v>289</v>
      </c>
      <c r="G97" s="2" t="s">
        <v>97</v>
      </c>
      <c r="H97" s="2" t="s">
        <v>89</v>
      </c>
      <c r="I97" s="2" t="n">
        <v>1</v>
      </c>
      <c r="J97" s="2" t="s">
        <v>163</v>
      </c>
      <c r="K97" s="2" t="n">
        <v>49.205948701579</v>
      </c>
      <c r="L97" s="2" t="n">
        <v>1.78</v>
      </c>
      <c r="M97" s="2" t="n">
        <v>4.04</v>
      </c>
      <c r="N97" s="2" t="n">
        <v>7.72</v>
      </c>
      <c r="O97" s="2" t="n">
        <v>0.1789</v>
      </c>
      <c r="P97" s="2" t="n">
        <v>15.1667727358499</v>
      </c>
      <c r="Q97" s="2" t="n">
        <v>19.1810268272992</v>
      </c>
      <c r="R97" s="2" t="n">
        <v>0.3091</v>
      </c>
      <c r="S97" s="2" t="n">
        <v>0.0037</v>
      </c>
      <c r="T97" s="2" t="n">
        <v>0.1958</v>
      </c>
      <c r="U97" s="2" t="n">
        <v>97.7812482647281</v>
      </c>
      <c r="V97" s="2" t="n">
        <v>2.63857473984893</v>
      </c>
      <c r="W97" s="2" t="n">
        <v>1.86226131631341</v>
      </c>
      <c r="X97" s="2" t="n">
        <v>0.0506805134345884</v>
      </c>
      <c r="Y97" s="2" t="n">
        <v>0.180201799889021</v>
      </c>
      <c r="Z97" s="2" t="n">
        <v>0.244347919782432</v>
      </c>
      <c r="AA97" s="2" t="n">
        <v>0.855710535363567</v>
      </c>
      <c r="AB97" s="2" t="n">
        <v>0.777801776864463</v>
      </c>
      <c r="AC97" s="2" t="n">
        <v>0.0226812134570954</v>
      </c>
      <c r="AD97" s="2" t="n">
        <v>0.00017864288312373</v>
      </c>
      <c r="AE97" s="2" t="n">
        <v>0.00585854158286093</v>
      </c>
      <c r="AF97" s="2" t="n">
        <v>0.0057346527919833</v>
      </c>
      <c r="AG97" s="2" t="n">
        <v>0.455683826078703</v>
      </c>
      <c r="AH97" s="2" t="n">
        <v>0.130120397470066</v>
      </c>
      <c r="AI97" s="2" t="n">
        <v>0.414195776451231</v>
      </c>
      <c r="AJ97" s="2" t="n">
        <v>77.7877331300543</v>
      </c>
      <c r="AK97" s="2" t="n">
        <v>0.137729904992846</v>
      </c>
      <c r="AL97" s="2" t="n">
        <v>0.0424736441204612</v>
      </c>
      <c r="AM97" s="2" t="n">
        <v>0.0226814702197276</v>
      </c>
      <c r="AN97" s="2" t="n">
        <v>0.0197921739007336</v>
      </c>
      <c r="AO97" s="2" t="n">
        <v>0.0589688655460561</v>
      </c>
      <c r="AP97" s="2" t="n">
        <v>2.60893887992126</v>
      </c>
      <c r="AQ97" s="2" t="n">
        <v>1.99193269129021</v>
      </c>
      <c r="AR97" s="2" t="n">
        <v>2.76804526562912</v>
      </c>
      <c r="AS97" s="2" t="n">
        <v>1107.27099609375</v>
      </c>
      <c r="AT97" s="2" t="n">
        <v>1104.03100891113</v>
      </c>
      <c r="AU97" s="2" t="n">
        <v>1112.29721069336</v>
      </c>
      <c r="AV97" s="2" t="n">
        <v>8.96652937691647</v>
      </c>
      <c r="AW97" s="2" t="n">
        <v>6.88321193515433</v>
      </c>
      <c r="AX97" s="2" t="n">
        <v>9.50000948927049</v>
      </c>
      <c r="AY97" s="2" t="n">
        <v>3.10438810641749</v>
      </c>
      <c r="AZ97" s="2" t="n">
        <v>0.185842970719129</v>
      </c>
      <c r="BA97" s="2" t="n">
        <v>2.62647200362793</v>
      </c>
      <c r="BB97" s="2" t="n">
        <v>3.54872816131298</v>
      </c>
      <c r="BC97" s="2" t="n">
        <v>1458.24552898121</v>
      </c>
      <c r="BD97" s="2" t="n">
        <v>2.86193262971339</v>
      </c>
      <c r="BE97" s="2" t="n">
        <v>4</v>
      </c>
      <c r="BF97" s="2" t="n">
        <v>4</v>
      </c>
      <c r="BG97" s="2" t="n">
        <v>10.6227102102407</v>
      </c>
      <c r="BH97" s="2" t="n">
        <v>0.652358811175485</v>
      </c>
      <c r="BI97" s="2" t="n">
        <v>9.02539275542443</v>
      </c>
      <c r="BJ97" s="2" t="n">
        <v>12.0953911540046</v>
      </c>
      <c r="BK97" s="2" t="n">
        <v>1.27048919616965</v>
      </c>
      <c r="BL97" s="2" t="n">
        <v>0.647271476835904</v>
      </c>
      <c r="BM97" s="2" t="n">
        <v>1.87861700736078</v>
      </c>
      <c r="BN97" s="2" t="n">
        <v>4000</v>
      </c>
      <c r="BO97" s="2" t="n">
        <v>1156.18640136719</v>
      </c>
      <c r="BP97" s="2" t="n">
        <v>1150.79752807617</v>
      </c>
      <c r="BQ97" s="2" t="n">
        <v>1159.54393310547</v>
      </c>
      <c r="BR97" s="2" t="n">
        <v>4000</v>
      </c>
      <c r="BS97" s="2" t="n">
        <v>4.4180044380461</v>
      </c>
      <c r="BT97" s="2" t="n">
        <v>2.26304728635618</v>
      </c>
      <c r="BU97" s="2" t="n">
        <v>6.49809471981132</v>
      </c>
      <c r="BV97" s="2" t="n">
        <v>48.79</v>
      </c>
      <c r="BW97" s="2" t="n">
        <v>3.65</v>
      </c>
      <c r="BX97" s="2" t="n">
        <v>13.63</v>
      </c>
      <c r="BY97" s="2" t="n">
        <v>12.31</v>
      </c>
      <c r="BZ97" s="2" t="n">
        <v>0.19</v>
      </c>
      <c r="CA97" s="2" t="n">
        <v>6.29</v>
      </c>
      <c r="CB97" s="2" t="n">
        <v>11.39</v>
      </c>
      <c r="CC97" s="2" t="n">
        <v>2.96</v>
      </c>
      <c r="CD97" s="2" t="n">
        <v>0.5</v>
      </c>
      <c r="CE97" s="2" t="n">
        <v>0.29</v>
      </c>
      <c r="CF97" s="2" t="n">
        <v>0.15</v>
      </c>
    </row>
    <row r="98" customFormat="false" ht="15" hidden="false" customHeight="false" outlineLevel="0" collapsed="false">
      <c r="A98" s="2" t="s">
        <v>290</v>
      </c>
      <c r="B98" s="2" t="n">
        <v>2009</v>
      </c>
      <c r="C98" s="2" t="s">
        <v>281</v>
      </c>
      <c r="D98" s="2" t="s">
        <v>282</v>
      </c>
      <c r="E98" s="2" t="n">
        <v>13</v>
      </c>
      <c r="F98" s="2" t="s">
        <v>291</v>
      </c>
      <c r="G98" s="2" t="s">
        <v>88</v>
      </c>
      <c r="H98" s="2" t="s">
        <v>108</v>
      </c>
      <c r="I98" s="2" t="n">
        <v>2</v>
      </c>
      <c r="J98" s="2" t="s">
        <v>88</v>
      </c>
      <c r="K98" s="2" t="n">
        <v>51.5825147994543</v>
      </c>
      <c r="L98" s="2" t="n">
        <v>1.2272</v>
      </c>
      <c r="M98" s="2" t="n">
        <v>2.71</v>
      </c>
      <c r="N98" s="2" t="n">
        <v>8.66</v>
      </c>
      <c r="O98" s="2" t="n">
        <v>0.2247</v>
      </c>
      <c r="P98" s="2" t="n">
        <v>17.7947749170618</v>
      </c>
      <c r="Q98" s="2" t="n">
        <v>16.4366645273933</v>
      </c>
      <c r="R98" s="2" t="n">
        <v>0.1786</v>
      </c>
      <c r="S98" s="2" t="n">
        <v>0</v>
      </c>
      <c r="T98" s="2" t="n">
        <v>0.2524</v>
      </c>
      <c r="U98" s="2" t="n">
        <v>99.0668542439093</v>
      </c>
      <c r="V98" s="2" t="n">
        <v>2.66294217460026</v>
      </c>
      <c r="W98" s="2" t="n">
        <v>1.934341674049</v>
      </c>
      <c r="X98" s="2" t="n">
        <v>0.0346213513067287</v>
      </c>
      <c r="Y98" s="2" t="n">
        <v>0.119771838155544</v>
      </c>
      <c r="Z98" s="2" t="n">
        <v>0.27159195564081</v>
      </c>
      <c r="AA98" s="2" t="n">
        <v>0.99479561759444</v>
      </c>
      <c r="AB98" s="2" t="n">
        <v>0.660417288889069</v>
      </c>
      <c r="AC98" s="2" t="n">
        <v>0.01298543192606</v>
      </c>
      <c r="AD98" s="2" t="n">
        <v>0</v>
      </c>
      <c r="AE98" s="2" t="n">
        <v>0.00748296724947687</v>
      </c>
      <c r="AF98" s="2" t="n">
        <v>0.00713686570711748</v>
      </c>
      <c r="AG98" s="2" t="n">
        <v>0.516292872801696</v>
      </c>
      <c r="AH98" s="2" t="n">
        <v>0.140954572504752</v>
      </c>
      <c r="AI98" s="2" t="n">
        <v>0.342752554693553</v>
      </c>
      <c r="AJ98" s="2" t="n">
        <v>78.5538044291629</v>
      </c>
      <c r="AK98" s="2"/>
      <c r="AL98" s="2"/>
      <c r="AM98" s="2"/>
      <c r="AN98" s="2"/>
      <c r="AO98" s="2"/>
      <c r="AP98" s="2" t="n">
        <v>0</v>
      </c>
      <c r="AQ98" s="2" t="n">
        <v>0</v>
      </c>
      <c r="AR98" s="2" t="n">
        <v>0.311937892920908</v>
      </c>
      <c r="AS98" s="2" t="n">
        <v>1148.8857421875</v>
      </c>
      <c r="AT98" s="2" t="n">
        <v>1144.12874145508</v>
      </c>
      <c r="AU98" s="2" t="n">
        <v>1155.68939208984</v>
      </c>
      <c r="AV98" s="2" t="n">
        <v>0</v>
      </c>
      <c r="AW98" s="2" t="n">
        <v>0</v>
      </c>
      <c r="AX98" s="2" t="n">
        <v>1.09379408867471</v>
      </c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customFormat="false" ht="15" hidden="false" customHeight="false" outlineLevel="0" collapsed="false">
      <c r="A99" s="2" t="s">
        <v>292</v>
      </c>
      <c r="B99" s="2" t="n">
        <v>2009</v>
      </c>
      <c r="C99" s="2" t="s">
        <v>281</v>
      </c>
      <c r="D99" s="2" t="s">
        <v>282</v>
      </c>
      <c r="E99" s="2" t="n">
        <v>14</v>
      </c>
      <c r="F99" s="2" t="s">
        <v>293</v>
      </c>
      <c r="G99" s="2" t="s">
        <v>88</v>
      </c>
      <c r="H99" s="2" t="s">
        <v>108</v>
      </c>
      <c r="I99" s="2" t="n">
        <v>2</v>
      </c>
      <c r="J99" s="2" t="s">
        <v>88</v>
      </c>
      <c r="K99" s="2" t="n">
        <v>46.5786899773455</v>
      </c>
      <c r="L99" s="2" t="n">
        <v>3.4</v>
      </c>
      <c r="M99" s="2" t="n">
        <v>6.76</v>
      </c>
      <c r="N99" s="2" t="n">
        <v>8.12</v>
      </c>
      <c r="O99" s="2" t="n">
        <v>0.1526</v>
      </c>
      <c r="P99" s="2" t="n">
        <v>13.4794207818615</v>
      </c>
      <c r="Q99" s="2" t="n">
        <v>19.8990857803211</v>
      </c>
      <c r="R99" s="2" t="n">
        <v>0.3792</v>
      </c>
      <c r="S99" s="2" t="n">
        <v>0.0024</v>
      </c>
      <c r="T99" s="2" t="n">
        <v>0.4707</v>
      </c>
      <c r="U99" s="2" t="n">
        <v>99.2420965395281</v>
      </c>
      <c r="V99" s="2" t="n">
        <v>2.56925638650255</v>
      </c>
      <c r="W99" s="2" t="n">
        <v>1.81039040020813</v>
      </c>
      <c r="X99" s="2" t="n">
        <v>0.0994172798865941</v>
      </c>
      <c r="Y99" s="2" t="n">
        <v>0.30966092803474</v>
      </c>
      <c r="Z99" s="2" t="n">
        <v>0.263942502901589</v>
      </c>
      <c r="AA99" s="2" t="n">
        <v>0.781028508075248</v>
      </c>
      <c r="AB99" s="2" t="n">
        <v>0.828690114321683</v>
      </c>
      <c r="AC99" s="2" t="n">
        <v>0.0285757452237028</v>
      </c>
      <c r="AD99" s="2" t="n">
        <v>0.000119002803450415</v>
      </c>
      <c r="AE99" s="2" t="n">
        <v>0.0144638191645375</v>
      </c>
      <c r="AF99" s="2" t="n">
        <v>0.00502357947272895</v>
      </c>
      <c r="AG99" s="2" t="n">
        <v>0.416846193545704</v>
      </c>
      <c r="AH99" s="2" t="n">
        <v>0.140869925376467</v>
      </c>
      <c r="AI99" s="2" t="n">
        <v>0.44228388107783</v>
      </c>
      <c r="AJ99" s="2" t="n">
        <v>74.741643535656</v>
      </c>
      <c r="AK99" s="2"/>
      <c r="AL99" s="2"/>
      <c r="AM99" s="2"/>
      <c r="AN99" s="2"/>
      <c r="AO99" s="2"/>
      <c r="AP99" s="2" t="n">
        <v>1.31658647916401</v>
      </c>
      <c r="AQ99" s="2" t="n">
        <v>1.03429014644707</v>
      </c>
      <c r="AR99" s="2" t="n">
        <v>1.70957606694782</v>
      </c>
      <c r="AS99" s="2" t="n">
        <v>1127.9130859375</v>
      </c>
      <c r="AT99" s="2" t="n">
        <v>1111.63642883301</v>
      </c>
      <c r="AU99" s="2" t="n">
        <v>1138.83760070801</v>
      </c>
      <c r="AV99" s="2" t="n">
        <v>4.57646438339208</v>
      </c>
      <c r="AW99" s="2" t="n">
        <v>3.60404711585</v>
      </c>
      <c r="AX99" s="2" t="n">
        <v>5.92214218882282</v>
      </c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customFormat="false" ht="15" hidden="false" customHeight="false" outlineLevel="0" collapsed="false">
      <c r="A100" s="2" t="s">
        <v>294</v>
      </c>
      <c r="B100" s="2" t="n">
        <v>2009</v>
      </c>
      <c r="C100" s="2" t="s">
        <v>281</v>
      </c>
      <c r="D100" s="2" t="s">
        <v>282</v>
      </c>
      <c r="E100" s="2" t="n">
        <v>15</v>
      </c>
      <c r="F100" s="2" t="s">
        <v>295</v>
      </c>
      <c r="G100" s="2" t="s">
        <v>93</v>
      </c>
      <c r="H100" s="2" t="s">
        <v>108</v>
      </c>
      <c r="I100" s="2" t="n">
        <v>2</v>
      </c>
      <c r="J100" s="2" t="s">
        <v>88</v>
      </c>
      <c r="K100" s="2" t="n">
        <v>49.3563642773939</v>
      </c>
      <c r="L100" s="2" t="n">
        <v>1.82</v>
      </c>
      <c r="M100" s="2" t="n">
        <v>4.96</v>
      </c>
      <c r="N100" s="2" t="n">
        <v>6.83</v>
      </c>
      <c r="O100" s="2" t="n">
        <v>0.1231</v>
      </c>
      <c r="P100" s="2" t="n">
        <v>14.9437319603227</v>
      </c>
      <c r="Q100" s="2" t="n">
        <v>20.0466321405311</v>
      </c>
      <c r="R100" s="2" t="n">
        <v>0.337</v>
      </c>
      <c r="S100" s="2" t="n">
        <v>0</v>
      </c>
      <c r="T100" s="2" t="n">
        <v>0.9194</v>
      </c>
      <c r="U100" s="2" t="n">
        <v>99.3362283782477</v>
      </c>
      <c r="V100" s="2" t="n">
        <v>2.68307268870244</v>
      </c>
      <c r="W100" s="2" t="n">
        <v>1.83697453215368</v>
      </c>
      <c r="X100" s="2" t="n">
        <v>0.0509599922816131</v>
      </c>
      <c r="Y100" s="2" t="n">
        <v>0.217568690460958</v>
      </c>
      <c r="Z100" s="2" t="n">
        <v>0.212593024868809</v>
      </c>
      <c r="AA100" s="2" t="n">
        <v>0.829143558020478</v>
      </c>
      <c r="AB100" s="2" t="n">
        <v>0.799420831714455</v>
      </c>
      <c r="AC100" s="2" t="n">
        <v>0.0243183521727646</v>
      </c>
      <c r="AD100" s="2" t="n">
        <v>0</v>
      </c>
      <c r="AE100" s="2" t="n">
        <v>0.0270531780384961</v>
      </c>
      <c r="AF100" s="2" t="n">
        <v>0.00388053676744742</v>
      </c>
      <c r="AG100" s="2" t="n">
        <v>0.450338222817807</v>
      </c>
      <c r="AH100" s="2" t="n">
        <v>0.11546705522437</v>
      </c>
      <c r="AI100" s="2" t="n">
        <v>0.434194721957823</v>
      </c>
      <c r="AJ100" s="2" t="n">
        <v>79.5924393593651</v>
      </c>
      <c r="AK100" s="2" t="n">
        <v>0.163017126226103</v>
      </c>
      <c r="AL100" s="2" t="n">
        <v>0.0545536385322028</v>
      </c>
      <c r="AM100" s="2" t="n">
        <v>0.0243186232605253</v>
      </c>
      <c r="AN100" s="2" t="n">
        <v>0.0302350152716776</v>
      </c>
      <c r="AO100" s="2" t="n">
        <v>0.0663910554772125</v>
      </c>
      <c r="AP100" s="2" t="n">
        <v>3.67362918883148</v>
      </c>
      <c r="AQ100" s="2" t="n">
        <v>3.01879760652366</v>
      </c>
      <c r="AR100" s="2" t="n">
        <v>4.40111744433227</v>
      </c>
      <c r="AS100" s="2" t="n">
        <v>1139.81225585938</v>
      </c>
      <c r="AT100" s="2" t="n">
        <v>1136.98112182617</v>
      </c>
      <c r="AU100" s="2" t="n">
        <v>1143.72024841309</v>
      </c>
      <c r="AV100" s="2" t="n">
        <v>12.5071976570765</v>
      </c>
      <c r="AW100" s="2" t="n">
        <v>10.3376623934052</v>
      </c>
      <c r="AX100" s="2" t="n">
        <v>14.886982829336</v>
      </c>
      <c r="AY100" s="2" t="n">
        <v>3.8910887512909</v>
      </c>
      <c r="AZ100" s="2" t="n">
        <v>0.163834231799748</v>
      </c>
      <c r="BA100" s="2" t="n">
        <v>3.3391579723265</v>
      </c>
      <c r="BB100" s="2" t="n">
        <v>4.43584523744228</v>
      </c>
      <c r="BC100" s="2" t="n">
        <v>1467.16698486167</v>
      </c>
      <c r="BD100" s="2" t="n">
        <v>3.2681997755239</v>
      </c>
      <c r="BE100" s="2" t="n">
        <v>74</v>
      </c>
      <c r="BF100" s="2" t="n">
        <v>74</v>
      </c>
      <c r="BG100" s="2" t="n">
        <v>13.2219196190499</v>
      </c>
      <c r="BH100" s="2" t="n">
        <v>0.5752114734228</v>
      </c>
      <c r="BI100" s="2" t="n">
        <v>11.402301243189</v>
      </c>
      <c r="BJ100" s="2" t="n">
        <v>14.999783564316</v>
      </c>
      <c r="BK100" s="2" t="n">
        <v>2.07007864480069</v>
      </c>
      <c r="BL100" s="2" t="n">
        <v>1.57073161983806</v>
      </c>
      <c r="BM100" s="2" t="n">
        <v>2.59547212569223</v>
      </c>
      <c r="BN100" s="2" t="n">
        <v>74000</v>
      </c>
      <c r="BO100" s="2" t="n">
        <v>1160.84252929688</v>
      </c>
      <c r="BP100" s="2" t="n">
        <v>1150.41354370117</v>
      </c>
      <c r="BQ100" s="2" t="n">
        <v>1166.17457885742</v>
      </c>
      <c r="BR100" s="2" t="n">
        <v>74000</v>
      </c>
      <c r="BS100" s="2" t="n">
        <v>7.14834717170623</v>
      </c>
      <c r="BT100" s="2" t="n">
        <v>5.4477792081954</v>
      </c>
      <c r="BU100" s="2" t="n">
        <v>8.92130523739737</v>
      </c>
      <c r="BV100" s="2" t="n">
        <v>48.77</v>
      </c>
      <c r="BW100" s="2" t="n">
        <v>3.43</v>
      </c>
      <c r="BX100" s="2" t="n">
        <v>13.84</v>
      </c>
      <c r="BY100" s="2" t="n">
        <v>11.98</v>
      </c>
      <c r="BZ100" s="2" t="n">
        <v>0.17</v>
      </c>
      <c r="CA100" s="2" t="n">
        <v>6.53</v>
      </c>
      <c r="CB100" s="2" t="n">
        <v>11.6</v>
      </c>
      <c r="CC100" s="2" t="n">
        <v>2.96</v>
      </c>
      <c r="CD100" s="2" t="n">
        <v>0.45</v>
      </c>
      <c r="CE100" s="2" t="n">
        <v>0.27</v>
      </c>
      <c r="CF100" s="2" t="n">
        <v>0.15</v>
      </c>
    </row>
    <row r="101" customFormat="false" ht="15" hidden="false" customHeight="false" outlineLevel="0" collapsed="false">
      <c r="A101" s="2" t="s">
        <v>296</v>
      </c>
      <c r="B101" s="2" t="n">
        <v>2009</v>
      </c>
      <c r="C101" s="2" t="s">
        <v>281</v>
      </c>
      <c r="D101" s="2" t="s">
        <v>282</v>
      </c>
      <c r="E101" s="2" t="n">
        <v>16</v>
      </c>
      <c r="F101" s="2" t="s">
        <v>297</v>
      </c>
      <c r="G101" s="2" t="s">
        <v>93</v>
      </c>
      <c r="H101" s="2" t="s">
        <v>108</v>
      </c>
      <c r="I101" s="2" t="n">
        <v>2</v>
      </c>
      <c r="J101" s="2" t="s">
        <v>88</v>
      </c>
      <c r="K101" s="2" t="n">
        <v>49.145782471253</v>
      </c>
      <c r="L101" s="2" t="n">
        <v>2.07</v>
      </c>
      <c r="M101" s="2" t="n">
        <v>4.29</v>
      </c>
      <c r="N101" s="2" t="n">
        <v>8.08</v>
      </c>
      <c r="O101" s="2" t="n">
        <v>0.1628</v>
      </c>
      <c r="P101" s="2" t="n">
        <v>14.4200710090849</v>
      </c>
      <c r="Q101" s="2" t="n">
        <v>20.4007434050351</v>
      </c>
      <c r="R101" s="2" t="n">
        <v>0.3429</v>
      </c>
      <c r="S101" s="2" t="n">
        <v>0</v>
      </c>
      <c r="T101" s="2" t="n">
        <v>0.1194</v>
      </c>
      <c r="U101" s="2" t="n">
        <v>99.031696885373</v>
      </c>
      <c r="V101" s="2" t="n">
        <v>2.60635858420081</v>
      </c>
      <c r="W101" s="2" t="n">
        <v>1.88297477040781</v>
      </c>
      <c r="X101" s="2" t="n">
        <v>0.0596659532676096</v>
      </c>
      <c r="Y101" s="2" t="n">
        <v>0.193718138020285</v>
      </c>
      <c r="Z101" s="2" t="n">
        <v>0.258903511628123</v>
      </c>
      <c r="AA101" s="2" t="n">
        <v>0.823637920189683</v>
      </c>
      <c r="AB101" s="2" t="n">
        <v>0.83748744691743</v>
      </c>
      <c r="AC101" s="2" t="n">
        <v>0.0254724078839183</v>
      </c>
      <c r="AD101" s="2" t="n">
        <v>0</v>
      </c>
      <c r="AE101" s="2" t="n">
        <v>0.00361673251562295</v>
      </c>
      <c r="AF101" s="2" t="n">
        <v>0.00528307070332649</v>
      </c>
      <c r="AG101" s="2" t="n">
        <v>0.428971631266417</v>
      </c>
      <c r="AH101" s="2" t="n">
        <v>0.134843550790063</v>
      </c>
      <c r="AI101" s="2" t="n">
        <v>0.43618481794352</v>
      </c>
      <c r="AJ101" s="2" t="n">
        <v>76.0837318537203</v>
      </c>
      <c r="AK101" s="2"/>
      <c r="AL101" s="2"/>
      <c r="AM101" s="2"/>
      <c r="AN101" s="2"/>
      <c r="AO101" s="2"/>
      <c r="AP101" s="2" t="n">
        <v>2.20791426769714</v>
      </c>
      <c r="AQ101" s="2" t="n">
        <v>1.70729764572601</v>
      </c>
      <c r="AR101" s="2" t="n">
        <v>2.46839749089698</v>
      </c>
      <c r="AS101" s="2" t="n">
        <v>1090.74145507813</v>
      </c>
      <c r="AT101" s="2" t="n">
        <v>1088.62920532227</v>
      </c>
      <c r="AU101" s="2" t="n">
        <v>1095.04270019531</v>
      </c>
      <c r="AV101" s="2" t="n">
        <v>7.61509674576729</v>
      </c>
      <c r="AW101" s="2" t="n">
        <v>5.91436737549968</v>
      </c>
      <c r="AX101" s="2" t="n">
        <v>8.49402125720077</v>
      </c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customFormat="false" ht="15" hidden="false" customHeight="false" outlineLevel="0" collapsed="false">
      <c r="A102" s="2" t="s">
        <v>298</v>
      </c>
      <c r="B102" s="2" t="n">
        <v>2009</v>
      </c>
      <c r="C102" s="2" t="s">
        <v>281</v>
      </c>
      <c r="D102" s="2" t="s">
        <v>282</v>
      </c>
      <c r="E102" s="2" t="n">
        <v>17</v>
      </c>
      <c r="F102" s="2" t="s">
        <v>299</v>
      </c>
      <c r="G102" s="2" t="s">
        <v>97</v>
      </c>
      <c r="H102" s="2" t="s">
        <v>108</v>
      </c>
      <c r="I102" s="2" t="n">
        <v>2</v>
      </c>
      <c r="J102" s="2" t="s">
        <v>88</v>
      </c>
      <c r="K102" s="2" t="n">
        <v>49.7675001846213</v>
      </c>
      <c r="L102" s="2" t="n">
        <v>2.25</v>
      </c>
      <c r="M102" s="2" t="n">
        <v>3.76</v>
      </c>
      <c r="N102" s="2" t="n">
        <v>8.78</v>
      </c>
      <c r="O102" s="2" t="n">
        <v>0.1848</v>
      </c>
      <c r="P102" s="2" t="n">
        <v>14.4200710090849</v>
      </c>
      <c r="Q102" s="2" t="n">
        <v>19.8794129322931</v>
      </c>
      <c r="R102" s="2" t="n">
        <v>0.32</v>
      </c>
      <c r="S102" s="2" t="n">
        <v>0.0004</v>
      </c>
      <c r="T102" s="2" t="n">
        <v>0.0683</v>
      </c>
      <c r="U102" s="2" t="n">
        <v>99.4304841259993</v>
      </c>
      <c r="V102" s="2" t="n">
        <v>2.61084229985254</v>
      </c>
      <c r="W102" s="2" t="n">
        <v>1.90352067970934</v>
      </c>
      <c r="X102" s="2" t="n">
        <v>0.0647429198600099</v>
      </c>
      <c r="Y102" s="2" t="n">
        <v>0.169494013806786</v>
      </c>
      <c r="Z102" s="2" t="n">
        <v>0.280850125154068</v>
      </c>
      <c r="AA102" s="2" t="n">
        <v>0.822223450141332</v>
      </c>
      <c r="AB102" s="2" t="n">
        <v>0.814684386674471</v>
      </c>
      <c r="AC102" s="2" t="n">
        <v>0.0237304524789333</v>
      </c>
      <c r="AD102" s="2" t="n">
        <v>1.95178846301795E-005</v>
      </c>
      <c r="AE102" s="2" t="n">
        <v>0.00206531497084031</v>
      </c>
      <c r="AF102" s="2" t="n">
        <v>0.00598670026322453</v>
      </c>
      <c r="AG102" s="2" t="n">
        <v>0.428742034420634</v>
      </c>
      <c r="AH102" s="2" t="n">
        <v>0.146447117271038</v>
      </c>
      <c r="AI102" s="2" t="n">
        <v>0.424810848308328</v>
      </c>
      <c r="AJ102" s="2" t="n">
        <v>74.5393116611594</v>
      </c>
      <c r="AK102" s="2"/>
      <c r="AL102" s="2"/>
      <c r="AM102" s="2"/>
      <c r="AN102" s="2"/>
      <c r="AO102" s="2"/>
      <c r="AP102" s="2" t="n">
        <v>1.9369691584762</v>
      </c>
      <c r="AQ102" s="2" t="n">
        <v>1.53795292121729</v>
      </c>
      <c r="AR102" s="2" t="n">
        <v>2.41015135390123</v>
      </c>
      <c r="AS102" s="2" t="n">
        <v>1106.24853515625</v>
      </c>
      <c r="AT102" s="2" t="n">
        <v>1102.73297424316</v>
      </c>
      <c r="AU102" s="2" t="n">
        <v>1109.33514404297</v>
      </c>
      <c r="AV102" s="2" t="n">
        <v>6.69650882380356</v>
      </c>
      <c r="AW102" s="2" t="n">
        <v>5.33562011031507</v>
      </c>
      <c r="AX102" s="2" t="n">
        <v>8.29784360985537</v>
      </c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customFormat="false" ht="15" hidden="false" customHeight="false" outlineLevel="0" collapsed="false">
      <c r="A103" s="2" t="s">
        <v>300</v>
      </c>
      <c r="B103" s="2" t="n">
        <v>2009</v>
      </c>
      <c r="C103" s="2" t="s">
        <v>281</v>
      </c>
      <c r="D103" s="2" t="s">
        <v>282</v>
      </c>
      <c r="E103" s="2" t="n">
        <v>19</v>
      </c>
      <c r="F103" s="2" t="s">
        <v>301</v>
      </c>
      <c r="G103" s="2" t="s">
        <v>88</v>
      </c>
      <c r="H103" s="2" t="s">
        <v>108</v>
      </c>
      <c r="I103" s="2" t="n">
        <v>1</v>
      </c>
      <c r="J103" s="2" t="s">
        <v>163</v>
      </c>
      <c r="K103" s="2" t="n">
        <v>49.1658378813617</v>
      </c>
      <c r="L103" s="2" t="n">
        <v>1.99</v>
      </c>
      <c r="M103" s="2" t="n">
        <v>4.87</v>
      </c>
      <c r="N103" s="2" t="n">
        <v>7.37</v>
      </c>
      <c r="O103" s="2" t="n">
        <v>0.155</v>
      </c>
      <c r="P103" s="2" t="n">
        <v>14.8370602850706</v>
      </c>
      <c r="Q103" s="2" t="n">
        <v>19.8499036602511</v>
      </c>
      <c r="R103" s="2" t="n">
        <v>0.3239</v>
      </c>
      <c r="S103" s="2" t="n">
        <v>0</v>
      </c>
      <c r="T103" s="2" t="n">
        <v>0.5341</v>
      </c>
      <c r="U103" s="2" t="n">
        <v>99.0958018266834</v>
      </c>
      <c r="V103" s="2" t="n">
        <v>2.67233478849155</v>
      </c>
      <c r="W103" s="2" t="n">
        <v>1.83723619323765</v>
      </c>
      <c r="X103" s="2" t="n">
        <v>0.0559438840578575</v>
      </c>
      <c r="Y103" s="2" t="n">
        <v>0.214479236836389</v>
      </c>
      <c r="Z103" s="2" t="n">
        <v>0.230323031827263</v>
      </c>
      <c r="AA103" s="2" t="n">
        <v>0.82653280653306</v>
      </c>
      <c r="AB103" s="2" t="n">
        <v>0.794756368313384</v>
      </c>
      <c r="AC103" s="2" t="n">
        <v>0.023466956260192</v>
      </c>
      <c r="AD103" s="2" t="n">
        <v>0</v>
      </c>
      <c r="AE103" s="2" t="n">
        <v>0.0157789442742093</v>
      </c>
      <c r="AF103" s="2" t="n">
        <v>0.0049057681703117</v>
      </c>
      <c r="AG103" s="2" t="n">
        <v>0.446385481557107</v>
      </c>
      <c r="AH103" s="2" t="n">
        <v>0.124390534366277</v>
      </c>
      <c r="AI103" s="2" t="n">
        <v>0.429223984076617</v>
      </c>
      <c r="AJ103" s="2" t="n">
        <v>78.2067692236434</v>
      </c>
      <c r="AK103" s="2" t="n">
        <v>0.162754819913991</v>
      </c>
      <c r="AL103" s="2" t="n">
        <v>0.0517265369506301</v>
      </c>
      <c r="AM103" s="2" t="n">
        <v>0.0234672260834093</v>
      </c>
      <c r="AN103" s="2" t="n">
        <v>0.0282593108672208</v>
      </c>
      <c r="AO103" s="2" t="n">
        <v>0.0672477545233852</v>
      </c>
      <c r="AP103" s="2" t="n">
        <v>2.69486477333156</v>
      </c>
      <c r="AQ103" s="2" t="n">
        <v>2.22529552537051</v>
      </c>
      <c r="AR103" s="2" t="n">
        <v>3.53092504697887</v>
      </c>
      <c r="AS103" s="2" t="n">
        <v>1113.54077148438</v>
      </c>
      <c r="AT103" s="2" t="n">
        <v>1106.69209594727</v>
      </c>
      <c r="AU103" s="2" t="n">
        <v>1116.45035705566</v>
      </c>
      <c r="AV103" s="2" t="n">
        <v>9.25482748331616</v>
      </c>
      <c r="AW103" s="2" t="n">
        <v>7.6738727503406</v>
      </c>
      <c r="AX103" s="2" t="n">
        <v>12.0366161925453</v>
      </c>
      <c r="AY103" s="2" t="n">
        <v>3.45157254382403</v>
      </c>
      <c r="AZ103" s="2" t="n">
        <v>0.188805772931467</v>
      </c>
      <c r="BA103" s="2" t="n">
        <v>2.98479012589501</v>
      </c>
      <c r="BB103" s="2" t="n">
        <v>3.97282066102539</v>
      </c>
      <c r="BC103" s="2" t="n">
        <v>1460.06257344863</v>
      </c>
      <c r="BD103" s="2" t="n">
        <v>3.68994952238505</v>
      </c>
      <c r="BE103" s="2" t="n">
        <v>9</v>
      </c>
      <c r="BF103" s="2" t="n">
        <v>9</v>
      </c>
      <c r="BG103" s="2" t="n">
        <v>11.7744093101649</v>
      </c>
      <c r="BH103" s="2" t="n">
        <v>0.662742094167008</v>
      </c>
      <c r="BI103" s="2" t="n">
        <v>10.2242817491364</v>
      </c>
      <c r="BJ103" s="2" t="n">
        <v>13.4898060507577</v>
      </c>
      <c r="BK103" s="2" t="n">
        <v>1.80240991324808</v>
      </c>
      <c r="BL103" s="2" t="n">
        <v>1.22415190728529</v>
      </c>
      <c r="BM103" s="2" t="n">
        <v>2.31708411167462</v>
      </c>
      <c r="BN103" s="2" t="n">
        <v>9000</v>
      </c>
      <c r="BO103" s="2" t="n">
        <v>1157.21490478516</v>
      </c>
      <c r="BP103" s="2" t="n">
        <v>1148.8407043457</v>
      </c>
      <c r="BQ103" s="2" t="n">
        <v>1161.04407958984</v>
      </c>
      <c r="BR103" s="2" t="n">
        <v>9000</v>
      </c>
      <c r="BS103" s="2" t="n">
        <v>6.23865796467906</v>
      </c>
      <c r="BT103" s="2" t="n">
        <v>4.25858968969343</v>
      </c>
      <c r="BU103" s="2" t="n">
        <v>7.98395900118537</v>
      </c>
      <c r="BV103" s="2" t="n">
        <v>48.26</v>
      </c>
      <c r="BW103" s="2" t="n">
        <v>3.66</v>
      </c>
      <c r="BX103" s="2" t="n">
        <v>13.59</v>
      </c>
      <c r="BY103" s="2" t="n">
        <v>12.44</v>
      </c>
      <c r="BZ103" s="2" t="n">
        <v>0.2</v>
      </c>
      <c r="CA103" s="2" t="n">
        <v>6.41</v>
      </c>
      <c r="CB103" s="2" t="n">
        <v>11.52</v>
      </c>
      <c r="CC103" s="2" t="n">
        <v>3.18</v>
      </c>
      <c r="CD103" s="2" t="n">
        <v>0.46</v>
      </c>
      <c r="CE103" s="2" t="n">
        <v>0.3</v>
      </c>
      <c r="CF103" s="2" t="n">
        <v>0.15</v>
      </c>
    </row>
    <row r="104" customFormat="false" ht="15" hidden="false" customHeight="false" outlineLevel="0" collapsed="false">
      <c r="A104" s="2" t="s">
        <v>302</v>
      </c>
      <c r="B104" s="2" t="n">
        <v>2009</v>
      </c>
      <c r="C104" s="2" t="s">
        <v>281</v>
      </c>
      <c r="D104" s="2" t="s">
        <v>282</v>
      </c>
      <c r="E104" s="2" t="n">
        <v>20</v>
      </c>
      <c r="F104" s="2" t="s">
        <v>303</v>
      </c>
      <c r="G104" s="2" t="s">
        <v>93</v>
      </c>
      <c r="H104" s="2" t="s">
        <v>108</v>
      </c>
      <c r="I104" s="2" t="n">
        <v>1</v>
      </c>
      <c r="J104" s="2" t="s">
        <v>163</v>
      </c>
      <c r="K104" s="2" t="n">
        <v>50.7301598698366</v>
      </c>
      <c r="L104" s="2" t="n">
        <v>1.3759</v>
      </c>
      <c r="M104" s="2" t="n">
        <v>2.54</v>
      </c>
      <c r="N104" s="2" t="n">
        <v>8.37</v>
      </c>
      <c r="O104" s="2" t="n">
        <v>0.2328</v>
      </c>
      <c r="P104" s="2" t="n">
        <v>16.4953199639902</v>
      </c>
      <c r="Q104" s="2" t="n">
        <v>18.1875480018852</v>
      </c>
      <c r="R104" s="2" t="n">
        <v>0.2026</v>
      </c>
      <c r="S104" s="2" t="n">
        <v>0</v>
      </c>
      <c r="T104" s="2" t="n">
        <v>0.0873</v>
      </c>
      <c r="U104" s="2" t="n">
        <v>98.221627835712</v>
      </c>
      <c r="V104" s="2" t="n">
        <v>2.65621157125752</v>
      </c>
      <c r="W104" s="2" t="n">
        <v>1.90719886496616</v>
      </c>
      <c r="X104" s="2" t="n">
        <v>0.0389147827716495</v>
      </c>
      <c r="Y104" s="2" t="n">
        <v>0.112542928584733</v>
      </c>
      <c r="Z104" s="2" t="n">
        <v>0.263162219097612</v>
      </c>
      <c r="AA104" s="2" t="n">
        <v>0.924487790768973</v>
      </c>
      <c r="AB104" s="2" t="n">
        <v>0.73261864453338</v>
      </c>
      <c r="AC104" s="2" t="n">
        <v>0.0147677202901548</v>
      </c>
      <c r="AD104" s="2" t="n">
        <v>0</v>
      </c>
      <c r="AE104" s="2" t="n">
        <v>0.00259476367350252</v>
      </c>
      <c r="AF104" s="2" t="n">
        <v>0.00741287198074144</v>
      </c>
      <c r="AG104" s="2" t="n">
        <v>0.481436693064103</v>
      </c>
      <c r="AH104" s="2" t="n">
        <v>0.137044479945356</v>
      </c>
      <c r="AI104" s="2" t="n">
        <v>0.381518826990541</v>
      </c>
      <c r="AJ104" s="2" t="n">
        <v>77.841770141763</v>
      </c>
      <c r="AK104" s="2" t="n">
        <v>0.0927930016632947</v>
      </c>
      <c r="AL104" s="2" t="n">
        <v>0.0197509687982369</v>
      </c>
      <c r="AM104" s="2" t="n">
        <v>0.0147678808309544</v>
      </c>
      <c r="AN104" s="2" t="n">
        <v>0.00498308796728249</v>
      </c>
      <c r="AO104" s="2" t="n">
        <v>0.0439049568480061</v>
      </c>
      <c r="AP104" s="2" t="n">
        <v>0</v>
      </c>
      <c r="AQ104" s="2" t="n">
        <v>0</v>
      </c>
      <c r="AR104" s="2" t="n">
        <v>0</v>
      </c>
      <c r="AS104" s="2" t="n">
        <v>1122.21704101563</v>
      </c>
      <c r="AT104" s="2" t="n">
        <v>1117.32435302734</v>
      </c>
      <c r="AU104" s="2" t="n">
        <v>1127.80801086426</v>
      </c>
      <c r="AV104" s="2" t="n">
        <v>0</v>
      </c>
      <c r="AW104" s="2" t="n">
        <v>0</v>
      </c>
      <c r="AX104" s="2" t="n">
        <v>0</v>
      </c>
      <c r="AY104" s="2" t="n">
        <v>0.435802956450269</v>
      </c>
      <c r="AZ104" s="2" t="n">
        <v>0.0291964686154233</v>
      </c>
      <c r="BA104" s="2" t="n">
        <v>-0.128446655449558</v>
      </c>
      <c r="BB104" s="2" t="n">
        <v>0.997237932094891</v>
      </c>
      <c r="BC104" s="2" t="n">
        <v>1438.61741330257</v>
      </c>
      <c r="BD104" s="2" t="n">
        <v>1.59088318992061</v>
      </c>
      <c r="BE104" s="2" t="n">
        <v>2</v>
      </c>
      <c r="BF104" s="2" t="n">
        <v>2</v>
      </c>
      <c r="BG104" s="2" t="n">
        <v>1.52648491081292</v>
      </c>
      <c r="BH104" s="2" t="n">
        <v>0.102626035261445</v>
      </c>
      <c r="BI104" s="2" t="n">
        <v>-0.452105501756974</v>
      </c>
      <c r="BJ104" s="2" t="n">
        <v>3.4760559956082</v>
      </c>
      <c r="BK104" s="2" t="n">
        <v>0</v>
      </c>
      <c r="BL104" s="2" t="n">
        <v>0</v>
      </c>
      <c r="BM104" s="2" t="n">
        <v>0.169590979339397</v>
      </c>
      <c r="BN104" s="2" t="n">
        <v>2000</v>
      </c>
      <c r="BO104" s="2" t="n">
        <v>1150.20227050781</v>
      </c>
      <c r="BP104" s="2" t="n">
        <v>1147.27953796387</v>
      </c>
      <c r="BQ104" s="2" t="n">
        <v>1153.11327209473</v>
      </c>
      <c r="BR104" s="2" t="n">
        <v>2000</v>
      </c>
      <c r="BS104" s="2" t="n">
        <v>0</v>
      </c>
      <c r="BT104" s="2" t="n">
        <v>0</v>
      </c>
      <c r="BU104" s="2" t="n">
        <v>0.595393462921105</v>
      </c>
      <c r="BV104" s="2" t="n">
        <v>48.62</v>
      </c>
      <c r="BW104" s="2" t="n">
        <v>3.78</v>
      </c>
      <c r="BX104" s="2" t="n">
        <v>13.42</v>
      </c>
      <c r="BY104" s="2" t="n">
        <v>12.57</v>
      </c>
      <c r="BZ104" s="2" t="n">
        <v>0.23</v>
      </c>
      <c r="CA104" s="2" t="n">
        <v>6.14</v>
      </c>
      <c r="CB104" s="2" t="n">
        <v>11.19</v>
      </c>
      <c r="CC104" s="2" t="n">
        <v>3.21</v>
      </c>
      <c r="CD104" s="2" t="n">
        <v>0.48</v>
      </c>
      <c r="CE104" s="2" t="n">
        <v>0.36</v>
      </c>
      <c r="CF104" s="2" t="n">
        <v>0.15</v>
      </c>
    </row>
    <row r="105" customFormat="false" ht="15" hidden="false" customHeight="false" outlineLevel="0" collapsed="false">
      <c r="A105" s="2" t="s">
        <v>304</v>
      </c>
      <c r="B105" s="2" t="n">
        <v>2009</v>
      </c>
      <c r="C105" s="2" t="s">
        <v>281</v>
      </c>
      <c r="D105" s="2" t="s">
        <v>282</v>
      </c>
      <c r="E105" s="2" t="n">
        <v>21</v>
      </c>
      <c r="F105" s="2" t="s">
        <v>305</v>
      </c>
      <c r="G105" s="2" t="s">
        <v>93</v>
      </c>
      <c r="H105" s="2" t="s">
        <v>108</v>
      </c>
      <c r="I105" s="2" t="n">
        <v>1</v>
      </c>
      <c r="J105" s="2" t="s">
        <v>163</v>
      </c>
      <c r="K105" s="2" t="n">
        <v>51.8733182460298</v>
      </c>
      <c r="L105" s="2" t="n">
        <v>1.2192</v>
      </c>
      <c r="M105" s="2" t="n">
        <v>2.41</v>
      </c>
      <c r="N105" s="2" t="n">
        <v>8.63</v>
      </c>
      <c r="O105" s="2" t="n">
        <v>0.2101</v>
      </c>
      <c r="P105" s="2" t="n">
        <v>17.0674680403426</v>
      </c>
      <c r="Q105" s="2" t="n">
        <v>17.7744181932972</v>
      </c>
      <c r="R105" s="2" t="n">
        <v>0.2141</v>
      </c>
      <c r="S105" s="2" t="n">
        <v>0</v>
      </c>
      <c r="T105" s="2" t="n">
        <v>0.1309</v>
      </c>
      <c r="U105" s="2" t="n">
        <v>99.5295044796696</v>
      </c>
      <c r="V105" s="2" t="n">
        <v>2.6671566164031</v>
      </c>
      <c r="W105" s="2" t="n">
        <v>1.9421730546857</v>
      </c>
      <c r="X105" s="2" t="n">
        <v>0.0343413085612577</v>
      </c>
      <c r="Y105" s="2" t="n">
        <v>0.106344659249071</v>
      </c>
      <c r="Z105" s="2" t="n">
        <v>0.270223443234384</v>
      </c>
      <c r="AA105" s="2" t="n">
        <v>0.952628741052478</v>
      </c>
      <c r="AB105" s="2" t="n">
        <v>0.713039114565513</v>
      </c>
      <c r="AC105" s="2" t="n">
        <v>0.0155419257609796</v>
      </c>
      <c r="AD105" s="2" t="n">
        <v>0</v>
      </c>
      <c r="AE105" s="2" t="n">
        <v>0.00387469353373025</v>
      </c>
      <c r="AF105" s="2" t="n">
        <v>0.00666259972154214</v>
      </c>
      <c r="AG105" s="2" t="n">
        <v>0.492087929532619</v>
      </c>
      <c r="AH105" s="2" t="n">
        <v>0.139586062189843</v>
      </c>
      <c r="AI105" s="2" t="n">
        <v>0.368326008277538</v>
      </c>
      <c r="AJ105" s="2" t="n">
        <v>77.9021989160553</v>
      </c>
      <c r="AK105" s="2"/>
      <c r="AL105" s="2"/>
      <c r="AM105" s="2"/>
      <c r="AN105" s="2"/>
      <c r="AO105" s="2"/>
      <c r="AP105" s="2" t="n">
        <v>0</v>
      </c>
      <c r="AQ105" s="2" t="n">
        <v>0</v>
      </c>
      <c r="AR105" s="2" t="n">
        <v>0</v>
      </c>
      <c r="AS105" s="2" t="n">
        <v>1140.76586914063</v>
      </c>
      <c r="AT105" s="2" t="n">
        <v>1134.68764343262</v>
      </c>
      <c r="AU105" s="2" t="n">
        <v>1146.54950561523</v>
      </c>
      <c r="AV105" s="2" t="n">
        <v>0</v>
      </c>
      <c r="AW105" s="2" t="n">
        <v>0</v>
      </c>
      <c r="AX105" s="2" t="n">
        <v>0</v>
      </c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customFormat="false" ht="15" hidden="false" customHeight="false" outlineLevel="0" collapsed="false">
      <c r="A106" s="2" t="s">
        <v>306</v>
      </c>
      <c r="B106" s="2" t="n">
        <v>2009</v>
      </c>
      <c r="C106" s="2" t="s">
        <v>281</v>
      </c>
      <c r="D106" s="2" t="s">
        <v>282</v>
      </c>
      <c r="E106" s="2" t="n">
        <v>22</v>
      </c>
      <c r="F106" s="2" t="s">
        <v>307</v>
      </c>
      <c r="G106" s="2" t="s">
        <v>97</v>
      </c>
      <c r="H106" s="2" t="s">
        <v>108</v>
      </c>
      <c r="I106" s="2" t="n">
        <v>1</v>
      </c>
      <c r="J106" s="2" t="s">
        <v>163</v>
      </c>
      <c r="K106" s="2" t="n">
        <v>52.003678411736</v>
      </c>
      <c r="L106" s="2" t="n">
        <v>1.0968</v>
      </c>
      <c r="M106" s="2" t="n">
        <v>1.99</v>
      </c>
      <c r="N106" s="2" t="n">
        <v>8.71</v>
      </c>
      <c r="O106" s="2" t="n">
        <v>0.2381</v>
      </c>
      <c r="P106" s="2" t="n">
        <v>16.9510989400676</v>
      </c>
      <c r="Q106" s="2" t="n">
        <v>17.6957268011852</v>
      </c>
      <c r="R106" s="2" t="n">
        <v>0.2056</v>
      </c>
      <c r="S106" s="2" t="n">
        <v>0</v>
      </c>
      <c r="T106" s="2" t="n">
        <v>0.0362</v>
      </c>
      <c r="U106" s="2" t="n">
        <v>98.9272041529888</v>
      </c>
      <c r="V106" s="2" t="n">
        <v>2.65434962604013</v>
      </c>
      <c r="W106" s="2" t="n">
        <v>1.95644818366085</v>
      </c>
      <c r="X106" s="2" t="n">
        <v>0.031042716532426</v>
      </c>
      <c r="Y106" s="2" t="n">
        <v>0.088235247750234</v>
      </c>
      <c r="Z106" s="2" t="n">
        <v>0.274044300671257</v>
      </c>
      <c r="AA106" s="2" t="n">
        <v>0.950698551552298</v>
      </c>
      <c r="AB106" s="2" t="n">
        <v>0.713307444512767</v>
      </c>
      <c r="AC106" s="2" t="n">
        <v>0.0149969058421486</v>
      </c>
      <c r="AD106" s="2" t="n">
        <v>0</v>
      </c>
      <c r="AE106" s="2" t="n">
        <v>0.00107670486048072</v>
      </c>
      <c r="AF106" s="2" t="n">
        <v>0.00758695410482772</v>
      </c>
      <c r="AG106" s="2" t="n">
        <v>0.490543797110568</v>
      </c>
      <c r="AH106" s="2" t="n">
        <v>0.141402058105895</v>
      </c>
      <c r="AI106" s="2" t="n">
        <v>0.368054144783537</v>
      </c>
      <c r="AJ106" s="2" t="n">
        <v>77.6243396584253</v>
      </c>
      <c r="AK106" s="2"/>
      <c r="AL106" s="2"/>
      <c r="AM106" s="2"/>
      <c r="AN106" s="2"/>
      <c r="AO106" s="2"/>
      <c r="AP106" s="2" t="n">
        <v>0</v>
      </c>
      <c r="AQ106" s="2" t="n">
        <v>0</v>
      </c>
      <c r="AR106" s="2" t="n">
        <v>0</v>
      </c>
      <c r="AS106" s="2" t="n">
        <v>1126.90112304688</v>
      </c>
      <c r="AT106" s="2" t="n">
        <v>1124.22152404785</v>
      </c>
      <c r="AU106" s="2" t="n">
        <v>1130.11108398438</v>
      </c>
      <c r="AV106" s="2" t="n">
        <v>0</v>
      </c>
      <c r="AW106" s="2" t="n">
        <v>0</v>
      </c>
      <c r="AX106" s="2" t="n">
        <v>0</v>
      </c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customFormat="false" ht="15" hidden="false" customHeight="false" outlineLevel="0" collapsed="false">
      <c r="A107" s="2" t="s">
        <v>308</v>
      </c>
      <c r="B107" s="2" t="n">
        <v>2009</v>
      </c>
      <c r="C107" s="2" t="s">
        <v>281</v>
      </c>
      <c r="D107" s="2" t="s">
        <v>282</v>
      </c>
      <c r="E107" s="2" t="n">
        <v>23</v>
      </c>
      <c r="F107" s="2" t="s">
        <v>309</v>
      </c>
      <c r="G107" s="2" t="s">
        <v>97</v>
      </c>
      <c r="H107" s="2" t="s">
        <v>108</v>
      </c>
      <c r="I107" s="2" t="n">
        <v>1</v>
      </c>
      <c r="J107" s="2" t="s">
        <v>163</v>
      </c>
      <c r="K107" s="2" t="n">
        <v>51.6326533247259</v>
      </c>
      <c r="L107" s="2" t="n">
        <v>1.4195</v>
      </c>
      <c r="M107" s="2" t="n">
        <v>1.733</v>
      </c>
      <c r="N107" s="2" t="n">
        <v>11.23</v>
      </c>
      <c r="O107" s="2" t="n">
        <v>0.285</v>
      </c>
      <c r="P107" s="2" t="n">
        <v>15.6225517119272</v>
      </c>
      <c r="Q107" s="2" t="n">
        <v>16.9088128800653</v>
      </c>
      <c r="R107" s="2" t="n">
        <v>0.2076</v>
      </c>
      <c r="S107" s="2" t="n">
        <v>0</v>
      </c>
      <c r="T107" s="2" t="n">
        <v>0.009</v>
      </c>
      <c r="U107" s="2" t="n">
        <v>99.0481179167184</v>
      </c>
      <c r="V107" s="2" t="n">
        <v>2.62267434437616</v>
      </c>
      <c r="W107" s="2" t="n">
        <v>1.96595009133146</v>
      </c>
      <c r="X107" s="2" t="n">
        <v>0.0406613162484178</v>
      </c>
      <c r="Y107" s="2" t="n">
        <v>0.0777680760150661</v>
      </c>
      <c r="Z107" s="2" t="n">
        <v>0.357598867350878</v>
      </c>
      <c r="AA107" s="2" t="n">
        <v>0.88676940988989</v>
      </c>
      <c r="AB107" s="2" t="n">
        <v>0.689819121744332</v>
      </c>
      <c r="AC107" s="2" t="n">
        <v>0.0153256767970818</v>
      </c>
      <c r="AD107" s="2" t="n">
        <v>0</v>
      </c>
      <c r="AE107" s="2" t="n">
        <v>0.00027092206134383</v>
      </c>
      <c r="AF107" s="2" t="n">
        <v>0.00919108283881791</v>
      </c>
      <c r="AG107" s="2" t="n">
        <v>0.458471299293539</v>
      </c>
      <c r="AH107" s="2" t="n">
        <v>0.184883257712524</v>
      </c>
      <c r="AI107" s="2" t="n">
        <v>0.356645442993937</v>
      </c>
      <c r="AJ107" s="2" t="n">
        <v>71.2626178365934</v>
      </c>
      <c r="AK107" s="2"/>
      <c r="AL107" s="2"/>
      <c r="AM107" s="2"/>
      <c r="AN107" s="2"/>
      <c r="AO107" s="2"/>
      <c r="AP107" s="2" t="n">
        <v>0</v>
      </c>
      <c r="AQ107" s="2" t="n">
        <v>0</v>
      </c>
      <c r="AR107" s="2" t="n">
        <v>0</v>
      </c>
      <c r="AS107" s="2" t="n">
        <v>1105.22900390625</v>
      </c>
      <c r="AT107" s="2" t="n">
        <v>1101.90618286133</v>
      </c>
      <c r="AU107" s="2" t="n">
        <v>1107.55110778809</v>
      </c>
      <c r="AV107" s="2" t="n">
        <v>0</v>
      </c>
      <c r="AW107" s="2" t="n">
        <v>0</v>
      </c>
      <c r="AX107" s="2" t="n">
        <v>0</v>
      </c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</row>
    <row r="108" customFormat="false" ht="15" hidden="false" customHeight="false" outlineLevel="0" collapsed="false">
      <c r="A108" s="2" t="s">
        <v>310</v>
      </c>
      <c r="B108" s="2" t="n">
        <v>2009</v>
      </c>
      <c r="C108" s="2" t="s">
        <v>281</v>
      </c>
      <c r="D108" s="2" t="s">
        <v>282</v>
      </c>
      <c r="E108" s="2" t="n">
        <v>24</v>
      </c>
      <c r="F108" s="2" t="s">
        <v>311</v>
      </c>
      <c r="G108" s="2" t="s">
        <v>88</v>
      </c>
      <c r="H108" s="2" t="s">
        <v>108</v>
      </c>
      <c r="I108" s="2" t="n">
        <v>1</v>
      </c>
      <c r="J108" s="2" t="s">
        <v>163</v>
      </c>
      <c r="K108" s="2" t="n">
        <v>50.7101044597279</v>
      </c>
      <c r="L108" s="2" t="n">
        <v>1.512</v>
      </c>
      <c r="M108" s="2" t="n">
        <v>3.62</v>
      </c>
      <c r="N108" s="2" t="n">
        <v>8.23</v>
      </c>
      <c r="O108" s="2" t="n">
        <v>0.1951</v>
      </c>
      <c r="P108" s="2" t="n">
        <v>16.8347298397925</v>
      </c>
      <c r="Q108" s="2" t="n">
        <v>17.4596526248492</v>
      </c>
      <c r="R108" s="2" t="n">
        <v>0.2422</v>
      </c>
      <c r="S108" s="2" t="n">
        <v>0</v>
      </c>
      <c r="T108" s="2" t="n">
        <v>0.259</v>
      </c>
      <c r="U108" s="2" t="n">
        <v>99.0627869243696</v>
      </c>
      <c r="V108" s="2" t="n">
        <v>2.68771776076706</v>
      </c>
      <c r="W108" s="2" t="n">
        <v>1.88409699506108</v>
      </c>
      <c r="X108" s="2" t="n">
        <v>0.0422628260312921</v>
      </c>
      <c r="Y108" s="2" t="n">
        <v>0.158515621995588</v>
      </c>
      <c r="Z108" s="2" t="n">
        <v>0.255727198065931</v>
      </c>
      <c r="AA108" s="2" t="n">
        <v>0.932450079576191</v>
      </c>
      <c r="AB108" s="2" t="n">
        <v>0.695053790670493</v>
      </c>
      <c r="AC108" s="2" t="n">
        <v>0.0174472570203362</v>
      </c>
      <c r="AD108" s="2" t="n">
        <v>0</v>
      </c>
      <c r="AE108" s="2" t="n">
        <v>0.00760785685683909</v>
      </c>
      <c r="AF108" s="2" t="n">
        <v>0.00613959602853951</v>
      </c>
      <c r="AG108" s="2" t="n">
        <v>0.495133122677119</v>
      </c>
      <c r="AH108" s="2" t="n">
        <v>0.135791726447601</v>
      </c>
      <c r="AI108" s="2" t="n">
        <v>0.36907515087528</v>
      </c>
      <c r="AJ108" s="2" t="n">
        <v>78.4773532638658</v>
      </c>
      <c r="AK108" s="2" t="n">
        <v>0.115894790160122</v>
      </c>
      <c r="AL108" s="2" t="n">
        <v>0.042622314446833</v>
      </c>
      <c r="AM108" s="2" t="n">
        <v>0.0174474483567356</v>
      </c>
      <c r="AN108" s="2" t="n">
        <v>0.0251748660900974</v>
      </c>
      <c r="AO108" s="2" t="n">
        <v>0.045359962035012</v>
      </c>
      <c r="AP108" s="2" t="n">
        <v>1.77513781016605</v>
      </c>
      <c r="AQ108" s="2" t="n">
        <v>0.996005619819331</v>
      </c>
      <c r="AR108" s="2" t="n">
        <v>2.39896413510578</v>
      </c>
      <c r="AS108" s="2" t="n">
        <v>1150.39978027344</v>
      </c>
      <c r="AT108" s="2" t="n">
        <v>1144.25179138184</v>
      </c>
      <c r="AU108" s="2" t="n">
        <v>1155.21880187988</v>
      </c>
      <c r="AV108" s="2" t="n">
        <v>6.14572826513685</v>
      </c>
      <c r="AW108" s="2" t="n">
        <v>3.47179773472302</v>
      </c>
      <c r="AX108" s="2" t="n">
        <v>8.26014062629623</v>
      </c>
      <c r="AY108" s="2" t="n">
        <v>2.31545635323558</v>
      </c>
      <c r="AZ108" s="2" t="n">
        <v>0.17104192540524</v>
      </c>
      <c r="BA108" s="2" t="n">
        <v>1.74177132973849</v>
      </c>
      <c r="BB108" s="2" t="n">
        <v>2.89603540195201</v>
      </c>
      <c r="BC108" s="2" t="n">
        <v>1466.35611029285</v>
      </c>
      <c r="BD108" s="2" t="n">
        <v>3.41581426768164</v>
      </c>
      <c r="BE108" s="2" t="n">
        <v>18</v>
      </c>
      <c r="BF108" s="2" t="n">
        <v>18</v>
      </c>
      <c r="BG108" s="2" t="n">
        <v>7.97846444719169</v>
      </c>
      <c r="BH108" s="2" t="n">
        <v>0.600479868722818</v>
      </c>
      <c r="BI108" s="2" t="n">
        <v>6.03197066706507</v>
      </c>
      <c r="BJ108" s="2" t="n">
        <v>9.92804413192748</v>
      </c>
      <c r="BK108" s="2" t="n">
        <v>1.17704029954232</v>
      </c>
      <c r="BL108" s="2" t="n">
        <v>0.507140842924038</v>
      </c>
      <c r="BM108" s="2" t="n">
        <v>1.77052249407012</v>
      </c>
      <c r="BN108" s="2" t="n">
        <v>18000</v>
      </c>
      <c r="BO108" s="2" t="n">
        <v>1164.43670654297</v>
      </c>
      <c r="BP108" s="2" t="n">
        <v>1153.12252197266</v>
      </c>
      <c r="BQ108" s="2" t="n">
        <v>1168.21802368164</v>
      </c>
      <c r="BR108" s="2" t="n">
        <v>18000</v>
      </c>
      <c r="BS108" s="2" t="n">
        <v>4.0963776459984</v>
      </c>
      <c r="BT108" s="2" t="n">
        <v>1.77526357704941</v>
      </c>
      <c r="BU108" s="2" t="n">
        <v>6.12999711487029</v>
      </c>
      <c r="BV108" s="2" t="n">
        <v>48.47</v>
      </c>
      <c r="BW108" s="2" t="n">
        <v>3.55</v>
      </c>
      <c r="BX108" s="2" t="n">
        <v>13.66</v>
      </c>
      <c r="BY108" s="2" t="n">
        <v>12.22</v>
      </c>
      <c r="BZ108" s="2" t="n">
        <v>0.19</v>
      </c>
      <c r="CA108" s="2" t="n">
        <v>6.53</v>
      </c>
      <c r="CB108" s="2" t="n">
        <v>11.51</v>
      </c>
      <c r="CC108" s="2" t="n">
        <v>2.99</v>
      </c>
      <c r="CD108" s="2" t="n">
        <v>0.48</v>
      </c>
      <c r="CE108" s="2" t="n">
        <v>0.41</v>
      </c>
      <c r="CF108" s="2" t="n">
        <v>0.15</v>
      </c>
    </row>
    <row r="109" customFormat="false" ht="15" hidden="false" customHeight="false" outlineLevel="0" collapsed="false">
      <c r="A109" s="2" t="s">
        <v>312</v>
      </c>
      <c r="B109" s="2" t="n">
        <v>2009</v>
      </c>
      <c r="C109" s="2" t="s">
        <v>281</v>
      </c>
      <c r="D109" s="2" t="s">
        <v>282</v>
      </c>
      <c r="E109" s="2" t="n">
        <v>25</v>
      </c>
      <c r="F109" s="2" t="s">
        <v>313</v>
      </c>
      <c r="G109" s="2" t="s">
        <v>93</v>
      </c>
      <c r="H109" s="2" t="s">
        <v>108</v>
      </c>
      <c r="I109" s="2" t="n">
        <v>1</v>
      </c>
      <c r="J109" s="2" t="s">
        <v>163</v>
      </c>
      <c r="K109" s="2" t="n">
        <v>48.4438431174502</v>
      </c>
      <c r="L109" s="2" t="n">
        <v>2.08</v>
      </c>
      <c r="M109" s="2" t="n">
        <v>5.48</v>
      </c>
      <c r="N109" s="2" t="n">
        <v>6.84</v>
      </c>
      <c r="O109" s="2" t="n">
        <v>0.1345</v>
      </c>
      <c r="P109" s="2" t="n">
        <v>14.4782555592225</v>
      </c>
      <c r="Q109" s="2" t="n">
        <v>20.2728698928531</v>
      </c>
      <c r="R109" s="2" t="n">
        <v>0.3311</v>
      </c>
      <c r="S109" s="2" t="n">
        <v>0</v>
      </c>
      <c r="T109" s="2" t="n">
        <v>0.8623</v>
      </c>
      <c r="U109" s="2" t="n">
        <v>98.9228685695258</v>
      </c>
      <c r="V109" s="2" t="n">
        <v>2.66607177482749</v>
      </c>
      <c r="W109" s="2" t="n">
        <v>1.81450915954446</v>
      </c>
      <c r="X109" s="2" t="n">
        <v>0.0586113739314918</v>
      </c>
      <c r="Y109" s="2" t="n">
        <v>0.241911147299484</v>
      </c>
      <c r="Z109" s="2" t="n">
        <v>0.21426192911874</v>
      </c>
      <c r="AA109" s="2" t="n">
        <v>0.808439456263784</v>
      </c>
      <c r="AB109" s="2" t="n">
        <v>0.813598004414963</v>
      </c>
      <c r="AC109" s="2" t="n">
        <v>0.0240449581120591</v>
      </c>
      <c r="AD109" s="2" t="n">
        <v>0</v>
      </c>
      <c r="AE109" s="2" t="n">
        <v>0.025534818706032</v>
      </c>
      <c r="AF109" s="2" t="n">
        <v>0.00426694097735463</v>
      </c>
      <c r="AG109" s="2" t="n">
        <v>0.440254710509347</v>
      </c>
      <c r="AH109" s="2" t="n">
        <v>0.116681370319668</v>
      </c>
      <c r="AI109" s="2" t="n">
        <v>0.443063919170985</v>
      </c>
      <c r="AJ109" s="2" t="n">
        <v>79.0494144056919</v>
      </c>
      <c r="AK109" s="2" t="n">
        <v>0.185481891703006</v>
      </c>
      <c r="AL109" s="2" t="n">
        <v>0.0564316565187257</v>
      </c>
      <c r="AM109" s="2" t="n">
        <v>0.0240452355494857</v>
      </c>
      <c r="AN109" s="2" t="n">
        <v>0.03238642096924</v>
      </c>
      <c r="AO109" s="2" t="n">
        <v>0.0765477353668832</v>
      </c>
      <c r="AP109" s="2" t="n">
        <v>3.37389831527477</v>
      </c>
      <c r="AQ109" s="2" t="n">
        <v>2.75247960075146</v>
      </c>
      <c r="AR109" s="2" t="n">
        <v>4.01106668695217</v>
      </c>
      <c r="AS109" s="2" t="n">
        <v>1135.07775878906</v>
      </c>
      <c r="AT109" s="2" t="n">
        <v>1132.4354309082</v>
      </c>
      <c r="AU109" s="2" t="n">
        <v>1137.93062133789</v>
      </c>
      <c r="AV109" s="2" t="n">
        <v>11.5173784344676</v>
      </c>
      <c r="AW109" s="2" t="n">
        <v>9.4478858665197</v>
      </c>
      <c r="AX109" s="2" t="n">
        <v>13.6150230888497</v>
      </c>
      <c r="AY109" s="2" t="n">
        <v>3.74779598775751</v>
      </c>
      <c r="AZ109" s="2" t="n">
        <v>0.182498600180416</v>
      </c>
      <c r="BA109" s="2" t="n">
        <v>3.18410576447436</v>
      </c>
      <c r="BB109" s="2" t="n">
        <v>4.29227103547361</v>
      </c>
      <c r="BC109" s="2" t="n">
        <v>1462.45764712182</v>
      </c>
      <c r="BD109" s="2" t="n">
        <v>3.47372489884576</v>
      </c>
      <c r="BE109" s="2" t="n">
        <v>46</v>
      </c>
      <c r="BF109" s="2" t="n">
        <v>46</v>
      </c>
      <c r="BG109" s="2" t="n">
        <v>12.7512828779513</v>
      </c>
      <c r="BH109" s="2" t="n">
        <v>0.640637664480571</v>
      </c>
      <c r="BI109" s="2" t="n">
        <v>10.8878000128788</v>
      </c>
      <c r="BJ109" s="2" t="n">
        <v>14.5329609371701</v>
      </c>
      <c r="BK109" s="2" t="n">
        <v>2.122539946952</v>
      </c>
      <c r="BL109" s="2" t="n">
        <v>1.70704809819206</v>
      </c>
      <c r="BM109" s="2" t="n">
        <v>2.56204636660541</v>
      </c>
      <c r="BN109" s="2" t="n">
        <v>46000</v>
      </c>
      <c r="BO109" s="2" t="n">
        <v>1157.94213867188</v>
      </c>
      <c r="BP109" s="2" t="n">
        <v>1147.28645935059</v>
      </c>
      <c r="BQ109" s="2" t="n">
        <v>1163.2197265625</v>
      </c>
      <c r="BR109" s="2" t="n">
        <v>46000</v>
      </c>
      <c r="BS109" s="2" t="n">
        <v>7.32613137194842</v>
      </c>
      <c r="BT109" s="2" t="n">
        <v>5.91351580818436</v>
      </c>
      <c r="BU109" s="2" t="n">
        <v>8.80900714833348</v>
      </c>
      <c r="BV109" s="2" t="n">
        <v>48.77</v>
      </c>
      <c r="BW109" s="2" t="n">
        <v>3.43</v>
      </c>
      <c r="BX109" s="2" t="n">
        <v>13.84</v>
      </c>
      <c r="BY109" s="2" t="n">
        <v>11.98</v>
      </c>
      <c r="BZ109" s="2" t="n">
        <v>0.17</v>
      </c>
      <c r="CA109" s="2" t="n">
        <v>6.53</v>
      </c>
      <c r="CB109" s="2" t="n">
        <v>11.6</v>
      </c>
      <c r="CC109" s="2" t="n">
        <v>2.96</v>
      </c>
      <c r="CD109" s="2" t="n">
        <v>0.45</v>
      </c>
      <c r="CE109" s="2" t="n">
        <v>0.27</v>
      </c>
      <c r="CF109" s="2" t="n">
        <v>0.15</v>
      </c>
    </row>
    <row r="110" customFormat="false" ht="15" hidden="false" customHeight="false" outlineLevel="0" collapsed="false">
      <c r="A110" s="2" t="s">
        <v>314</v>
      </c>
      <c r="B110" s="2" t="n">
        <v>2009</v>
      </c>
      <c r="C110" s="2" t="s">
        <v>281</v>
      </c>
      <c r="D110" s="2" t="s">
        <v>282</v>
      </c>
      <c r="E110" s="2" t="n">
        <v>26</v>
      </c>
      <c r="F110" s="2" t="s">
        <v>315</v>
      </c>
      <c r="G110" s="2" t="s">
        <v>93</v>
      </c>
      <c r="H110" s="2" t="s">
        <v>108</v>
      </c>
      <c r="I110" s="2" t="n">
        <v>1</v>
      </c>
      <c r="J110" s="2" t="s">
        <v>163</v>
      </c>
      <c r="K110" s="2" t="n">
        <v>48.6945357438084</v>
      </c>
      <c r="L110" s="2" t="n">
        <v>2.13</v>
      </c>
      <c r="M110" s="2" t="n">
        <v>4.97</v>
      </c>
      <c r="N110" s="2" t="n">
        <v>7.73</v>
      </c>
      <c r="O110" s="2" t="n">
        <v>0.1629</v>
      </c>
      <c r="P110" s="2" t="n">
        <v>14.788573159956</v>
      </c>
      <c r="Q110" s="2" t="n">
        <v>19.6335023319431</v>
      </c>
      <c r="R110" s="2" t="n">
        <v>0.3422</v>
      </c>
      <c r="S110" s="2" t="n">
        <v>0</v>
      </c>
      <c r="T110" s="2" t="n">
        <v>0.3927</v>
      </c>
      <c r="U110" s="2" t="n">
        <v>98.8444112357074</v>
      </c>
      <c r="V110" s="2" t="n">
        <v>2.66065949680927</v>
      </c>
      <c r="W110" s="2" t="n">
        <v>1.82760923597853</v>
      </c>
      <c r="X110" s="2" t="n">
        <v>0.0601423936846344</v>
      </c>
      <c r="Y110" s="2" t="n">
        <v>0.21984381413003</v>
      </c>
      <c r="Z110" s="2" t="n">
        <v>0.242633599848517</v>
      </c>
      <c r="AA110" s="2" t="n">
        <v>0.827446790917672</v>
      </c>
      <c r="AB110" s="2" t="n">
        <v>0.789541493043776</v>
      </c>
      <c r="AC110" s="2" t="n">
        <v>0.0249016077599387</v>
      </c>
      <c r="AD110" s="2" t="n">
        <v>0</v>
      </c>
      <c r="AE110" s="2" t="n">
        <v>0.0116524656846352</v>
      </c>
      <c r="AF110" s="2" t="n">
        <v>0.00517842838063666</v>
      </c>
      <c r="AG110" s="2" t="n">
        <v>0.444954320080602</v>
      </c>
      <c r="AH110" s="2" t="n">
        <v>0.130474695937334</v>
      </c>
      <c r="AI110" s="2" t="n">
        <v>0.424570983982064</v>
      </c>
      <c r="AJ110" s="2" t="n">
        <v>77.3256661889871</v>
      </c>
      <c r="AK110" s="2" t="n">
        <v>0.172381311953479</v>
      </c>
      <c r="AL110" s="2" t="n">
        <v>0.0474647368574186</v>
      </c>
      <c r="AM110" s="2" t="n">
        <v>0.0249019010591784</v>
      </c>
      <c r="AN110" s="2" t="n">
        <v>0.0225628357982402</v>
      </c>
      <c r="AO110" s="2" t="n">
        <v>0.0749092380776192</v>
      </c>
      <c r="AP110" s="2" t="n">
        <v>2.29256043507707</v>
      </c>
      <c r="AQ110" s="2" t="n">
        <v>1.92011700942171</v>
      </c>
      <c r="AR110" s="2" t="n">
        <v>3.14860184862268</v>
      </c>
      <c r="AS110" s="2" t="n">
        <v>1118.14697265625</v>
      </c>
      <c r="AT110" s="2" t="n">
        <v>1114.73621520996</v>
      </c>
      <c r="AU110" s="2" t="n">
        <v>1125.04254150391</v>
      </c>
      <c r="AV110" s="2" t="n">
        <v>7.90116148322851</v>
      </c>
      <c r="AW110" s="2" t="n">
        <v>6.6392278587307</v>
      </c>
      <c r="AX110" s="2" t="n">
        <v>10.7697843234576</v>
      </c>
      <c r="AY110" s="2" t="n">
        <v>3.68493188236342</v>
      </c>
      <c r="AZ110" s="2" t="n">
        <v>0.166485105547752</v>
      </c>
      <c r="BA110" s="2" t="n">
        <v>3.26391700621857</v>
      </c>
      <c r="BB110" s="2" t="n">
        <v>4.08997754296558</v>
      </c>
      <c r="BC110" s="2" t="n">
        <v>1461.91747093112</v>
      </c>
      <c r="BD110" s="2" t="n">
        <v>1.55443809392726</v>
      </c>
      <c r="BE110" s="2" t="n">
        <v>3</v>
      </c>
      <c r="BF110" s="2" t="n">
        <v>3</v>
      </c>
      <c r="BG110" s="2" t="n">
        <v>12.5444166989785</v>
      </c>
      <c r="BH110" s="2" t="n">
        <v>0.584505148697153</v>
      </c>
      <c r="BI110" s="2" t="n">
        <v>11.1528152291924</v>
      </c>
      <c r="BJ110" s="2" t="n">
        <v>13.8730961793632</v>
      </c>
      <c r="BK110" s="2" t="n">
        <v>1.59366768102007</v>
      </c>
      <c r="BL110" s="2" t="n">
        <v>1.1794525424103</v>
      </c>
      <c r="BM110" s="2" t="n">
        <v>2.08785364343403</v>
      </c>
      <c r="BN110" s="2" t="n">
        <v>3000</v>
      </c>
      <c r="BO110" s="2" t="n">
        <v>1155.36987304688</v>
      </c>
      <c r="BP110" s="2" t="n">
        <v>1149.6873046875</v>
      </c>
      <c r="BQ110" s="2" t="n">
        <v>1158.59537963867</v>
      </c>
      <c r="BR110" s="2" t="n">
        <v>3000</v>
      </c>
      <c r="BS110" s="2" t="n">
        <v>5.52622096636936</v>
      </c>
      <c r="BT110" s="2" t="n">
        <v>4.10468661237649</v>
      </c>
      <c r="BU110" s="2" t="n">
        <v>7.20860290000675</v>
      </c>
      <c r="BV110" s="2" t="n">
        <v>48.29</v>
      </c>
      <c r="BW110" s="2" t="n">
        <v>3.69</v>
      </c>
      <c r="BX110" s="2" t="n">
        <v>13.65</v>
      </c>
      <c r="BY110" s="2" t="n">
        <v>12.67</v>
      </c>
      <c r="BZ110" s="2" t="n">
        <v>0.18</v>
      </c>
      <c r="CA110" s="2" t="n">
        <v>6.25</v>
      </c>
      <c r="CB110" s="2" t="n">
        <v>11.35</v>
      </c>
      <c r="CC110" s="2" t="n">
        <v>3.11</v>
      </c>
      <c r="CD110" s="2" t="n">
        <v>0.49</v>
      </c>
      <c r="CE110" s="2" t="n">
        <v>0.33</v>
      </c>
      <c r="CF110" s="2" t="n">
        <v>0.15</v>
      </c>
    </row>
    <row r="111" customFormat="false" ht="15" hidden="false" customHeight="false" outlineLevel="0" collapsed="false">
      <c r="A111" s="2" t="s">
        <v>316</v>
      </c>
      <c r="B111" s="2" t="n">
        <v>2009</v>
      </c>
      <c r="C111" s="2" t="s">
        <v>281</v>
      </c>
      <c r="D111" s="2" t="s">
        <v>282</v>
      </c>
      <c r="E111" s="2" t="n">
        <v>27</v>
      </c>
      <c r="F111" s="2" t="s">
        <v>317</v>
      </c>
      <c r="G111" s="2" t="s">
        <v>93</v>
      </c>
      <c r="H111" s="2" t="s">
        <v>108</v>
      </c>
      <c r="I111" s="2" t="n">
        <v>1</v>
      </c>
      <c r="J111" s="2" t="s">
        <v>163</v>
      </c>
      <c r="K111" s="2" t="n">
        <v>51.8532628359211</v>
      </c>
      <c r="L111" s="2" t="n">
        <v>1.087</v>
      </c>
      <c r="M111" s="2" t="n">
        <v>2.32</v>
      </c>
      <c r="N111" s="2" t="n">
        <v>7.51</v>
      </c>
      <c r="O111" s="2" t="n">
        <v>0.2211</v>
      </c>
      <c r="P111" s="2" t="n">
        <v>17.6687083917638</v>
      </c>
      <c r="Q111" s="2" t="n">
        <v>17.6071989850592</v>
      </c>
      <c r="R111" s="2" t="n">
        <v>0.2117</v>
      </c>
      <c r="S111" s="2" t="n">
        <v>0.0027</v>
      </c>
      <c r="T111" s="2" t="n">
        <v>0.3643</v>
      </c>
      <c r="U111" s="2" t="n">
        <v>98.8459702127441</v>
      </c>
      <c r="V111" s="2" t="n">
        <v>2.66493898505952</v>
      </c>
      <c r="W111" s="2" t="n">
        <v>1.94303772238534</v>
      </c>
      <c r="X111" s="2" t="n">
        <v>0.030643098563482</v>
      </c>
      <c r="Y111" s="2" t="n">
        <v>0.10245847195021</v>
      </c>
      <c r="Z111" s="2" t="n">
        <v>0.235349572125653</v>
      </c>
      <c r="AA111" s="2" t="n">
        <v>0.987007910120382</v>
      </c>
      <c r="AB111" s="2" t="n">
        <v>0.70691871751496</v>
      </c>
      <c r="AC111" s="2" t="n">
        <v>0.0153804934508387</v>
      </c>
      <c r="AD111" s="2" t="n">
        <v>0.00012907136103384</v>
      </c>
      <c r="AE111" s="2" t="n">
        <v>0.0107924024265485</v>
      </c>
      <c r="AF111" s="2" t="n">
        <v>0.00701726149724361</v>
      </c>
      <c r="AG111" s="2" t="n">
        <v>0.511594923652018</v>
      </c>
      <c r="AH111" s="2" t="n">
        <v>0.12198853235986</v>
      </c>
      <c r="AI111" s="2" t="n">
        <v>0.366416543988122</v>
      </c>
      <c r="AJ111" s="2" t="n">
        <v>80.7462566766306</v>
      </c>
      <c r="AK111" s="2"/>
      <c r="AL111" s="2"/>
      <c r="AM111" s="2"/>
      <c r="AN111" s="2"/>
      <c r="AO111" s="2"/>
      <c r="AP111" s="2" t="n">
        <v>0.105939770469</v>
      </c>
      <c r="AQ111" s="2" t="n">
        <v>0</v>
      </c>
      <c r="AR111" s="2" t="n">
        <v>0.385540065893461</v>
      </c>
      <c r="AS111" s="2" t="n">
        <v>1144.37353515625</v>
      </c>
      <c r="AT111" s="2" t="n">
        <v>1139.28945007324</v>
      </c>
      <c r="AU111" s="2" t="n">
        <v>1146.64457092285</v>
      </c>
      <c r="AV111" s="2" t="n">
        <v>0.372133574972455</v>
      </c>
      <c r="AW111" s="2" t="n">
        <v>0</v>
      </c>
      <c r="AX111" s="2" t="n">
        <v>1.35101649105982</v>
      </c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</row>
    <row r="112" customFormat="false" ht="15" hidden="false" customHeight="false" outlineLevel="0" collapsed="false">
      <c r="A112" s="2" t="s">
        <v>318</v>
      </c>
      <c r="B112" s="2" t="n">
        <v>2009</v>
      </c>
      <c r="C112" s="2" t="s">
        <v>281</v>
      </c>
      <c r="D112" s="2" t="s">
        <v>282</v>
      </c>
      <c r="E112" s="2" t="n">
        <v>28</v>
      </c>
      <c r="F112" s="2" t="s">
        <v>319</v>
      </c>
      <c r="G112" s="2" t="s">
        <v>93</v>
      </c>
      <c r="H112" s="2" t="s">
        <v>108</v>
      </c>
      <c r="I112" s="2" t="n">
        <v>1</v>
      </c>
      <c r="J112" s="2" t="s">
        <v>163</v>
      </c>
      <c r="K112" s="2" t="n">
        <v>49.6271123138607</v>
      </c>
      <c r="L112" s="2" t="n">
        <v>1.89</v>
      </c>
      <c r="M112" s="2" t="n">
        <v>4.03</v>
      </c>
      <c r="N112" s="2" t="n">
        <v>7.72</v>
      </c>
      <c r="O112" s="2" t="n">
        <v>0.1698</v>
      </c>
      <c r="P112" s="2" t="n">
        <v>14.9340345352998</v>
      </c>
      <c r="Q112" s="2" t="n">
        <v>20.2236877727831</v>
      </c>
      <c r="R112" s="2" t="n">
        <v>0.3138</v>
      </c>
      <c r="S112" s="2" t="n">
        <v>0</v>
      </c>
      <c r="T112" s="2" t="n">
        <v>0.199</v>
      </c>
      <c r="U112" s="2" t="n">
        <v>99.1074346219436</v>
      </c>
      <c r="V112" s="2" t="n">
        <v>2.66784456152218</v>
      </c>
      <c r="W112" s="2" t="n">
        <v>1.85759441177859</v>
      </c>
      <c r="X112" s="2" t="n">
        <v>0.0532220606959301</v>
      </c>
      <c r="Y112" s="2" t="n">
        <v>0.177783594860032</v>
      </c>
      <c r="Z112" s="2" t="n">
        <v>0.241667096416103</v>
      </c>
      <c r="AA112" s="2" t="n">
        <v>0.833335204580342</v>
      </c>
      <c r="AB112" s="2" t="n">
        <v>0.8110848846301</v>
      </c>
      <c r="AC112" s="2" t="n">
        <v>0.0227734641716329</v>
      </c>
      <c r="AD112" s="2" t="n">
        <v>0</v>
      </c>
      <c r="AE112" s="2" t="n">
        <v>0.00588896243232505</v>
      </c>
      <c r="AF112" s="2" t="n">
        <v>0.00538323515956818</v>
      </c>
      <c r="AG112" s="2" t="n">
        <v>0.44183281182917</v>
      </c>
      <c r="AH112" s="2" t="n">
        <v>0.128131455564618</v>
      </c>
      <c r="AI112" s="2" t="n">
        <v>0.430035732606212</v>
      </c>
      <c r="AJ112" s="2" t="n">
        <v>77.5193879871609</v>
      </c>
      <c r="AK112" s="2" t="n">
        <v>0.142396594949747</v>
      </c>
      <c r="AL112" s="2" t="n">
        <v>0.0353887483030849</v>
      </c>
      <c r="AM112" s="2" t="n">
        <v>0.0227737248789689</v>
      </c>
      <c r="AN112" s="2" t="n">
        <v>0.012615023424116</v>
      </c>
      <c r="AO112" s="2" t="n">
        <v>0.0648907857628154</v>
      </c>
      <c r="AP112" s="2" t="n">
        <v>2.4146743532632</v>
      </c>
      <c r="AQ112" s="2" t="n">
        <v>1.72537595596057</v>
      </c>
      <c r="AR112" s="2" t="n">
        <v>2.55647100176555</v>
      </c>
      <c r="AS112" s="2" t="n">
        <v>1091.67553710938</v>
      </c>
      <c r="AT112" s="2" t="n">
        <v>1089.48981018066</v>
      </c>
      <c r="AU112" s="2" t="n">
        <v>1096.0478515625</v>
      </c>
      <c r="AV112" s="2" t="n">
        <v>8.31308479599917</v>
      </c>
      <c r="AW112" s="2" t="n">
        <v>5.97604858122274</v>
      </c>
      <c r="AX112" s="2" t="n">
        <v>8.79026941242659</v>
      </c>
      <c r="AY112" s="2" t="n">
        <v>2.77099038526671</v>
      </c>
      <c r="AZ112" s="2" t="n">
        <v>0.165226696462641</v>
      </c>
      <c r="BA112" s="2" t="n">
        <v>2.28581477538349</v>
      </c>
      <c r="BB112" s="2" t="n">
        <v>3.29022109442908</v>
      </c>
      <c r="BC112" s="2" t="n">
        <v>1448.05344778668</v>
      </c>
      <c r="BD112" s="2" t="n">
        <v>1.51445174271717</v>
      </c>
      <c r="BE112" s="2" t="n">
        <v>3</v>
      </c>
      <c r="BF112" s="2" t="n">
        <v>3</v>
      </c>
      <c r="BG112" s="2" t="n">
        <v>9.50986994778743</v>
      </c>
      <c r="BH112" s="2" t="n">
        <v>0.580093356297914</v>
      </c>
      <c r="BI112" s="2" t="n">
        <v>7.87838020839377</v>
      </c>
      <c r="BJ112" s="2" t="n">
        <v>11.2400740339414</v>
      </c>
      <c r="BK112" s="2" t="n">
        <v>1.05815397613831</v>
      </c>
      <c r="BL112" s="2" t="n">
        <v>0.516173063591246</v>
      </c>
      <c r="BM112" s="2" t="n">
        <v>1.55860418875024</v>
      </c>
      <c r="BN112" s="2" t="n">
        <v>3000</v>
      </c>
      <c r="BO112" s="2" t="n">
        <v>1153.50915527344</v>
      </c>
      <c r="BP112" s="2" t="n">
        <v>1148.43198547363</v>
      </c>
      <c r="BQ112" s="2" t="n">
        <v>1156.85043334961</v>
      </c>
      <c r="BR112" s="2" t="n">
        <v>3000</v>
      </c>
      <c r="BS112" s="2" t="n">
        <v>3.68643696263701</v>
      </c>
      <c r="BT112" s="2" t="n">
        <v>1.80673990494367</v>
      </c>
      <c r="BU112" s="2" t="n">
        <v>5.40629028260612</v>
      </c>
      <c r="BV112" s="2" t="n">
        <v>48.29</v>
      </c>
      <c r="BW112" s="2" t="n">
        <v>3.69</v>
      </c>
      <c r="BX112" s="2" t="n">
        <v>13.65</v>
      </c>
      <c r="BY112" s="2" t="n">
        <v>12.67</v>
      </c>
      <c r="BZ112" s="2" t="n">
        <v>0.18</v>
      </c>
      <c r="CA112" s="2" t="n">
        <v>6.25</v>
      </c>
      <c r="CB112" s="2" t="n">
        <v>11.35</v>
      </c>
      <c r="CC112" s="2" t="n">
        <v>3.11</v>
      </c>
      <c r="CD112" s="2" t="n">
        <v>0.49</v>
      </c>
      <c r="CE112" s="2" t="n">
        <v>0.33</v>
      </c>
      <c r="CF112" s="2" t="n">
        <v>0.15</v>
      </c>
    </row>
    <row r="113" customFormat="false" ht="15" hidden="false" customHeight="false" outlineLevel="0" collapsed="false">
      <c r="A113" s="2" t="s">
        <v>320</v>
      </c>
      <c r="B113" s="2" t="n">
        <v>2009</v>
      </c>
      <c r="C113" s="2" t="s">
        <v>281</v>
      </c>
      <c r="D113" s="2" t="s">
        <v>282</v>
      </c>
      <c r="E113" s="2" t="n">
        <v>29</v>
      </c>
      <c r="F113" s="2" t="s">
        <v>321</v>
      </c>
      <c r="G113" s="2" t="s">
        <v>97</v>
      </c>
      <c r="H113" s="2" t="s">
        <v>108</v>
      </c>
      <c r="I113" s="2" t="n">
        <v>1</v>
      </c>
      <c r="J113" s="2" t="s">
        <v>163</v>
      </c>
      <c r="K113" s="2" t="n">
        <v>47.3107124463113</v>
      </c>
      <c r="L113" s="2" t="n">
        <v>3.72</v>
      </c>
      <c r="M113" s="2" t="n">
        <v>4.21</v>
      </c>
      <c r="N113" s="2" t="n">
        <v>14.15</v>
      </c>
      <c r="O113" s="2" t="n">
        <v>0.3068</v>
      </c>
      <c r="P113" s="2" t="n">
        <v>12.2866375040421</v>
      </c>
      <c r="Q113" s="2" t="n">
        <v>17.1645599044292</v>
      </c>
      <c r="R113" s="2" t="n">
        <v>0.4646</v>
      </c>
      <c r="S113" s="2" t="n">
        <v>0.0009</v>
      </c>
      <c r="T113" s="2" t="n">
        <v>0</v>
      </c>
      <c r="U113" s="2" t="n">
        <v>99.6142098547826</v>
      </c>
      <c r="V113" s="2" t="n">
        <v>2.51841310078057</v>
      </c>
      <c r="W113" s="2" t="n">
        <v>1.87596586253465</v>
      </c>
      <c r="X113" s="2" t="n">
        <v>0.110970201370202</v>
      </c>
      <c r="Y113" s="2" t="n">
        <v>0.196744357426003</v>
      </c>
      <c r="Z113" s="2" t="n">
        <v>0.469234803044668</v>
      </c>
      <c r="AA113" s="2" t="n">
        <v>0.726288513502226</v>
      </c>
      <c r="AB113" s="2" t="n">
        <v>0.729242852931336</v>
      </c>
      <c r="AC113" s="2" t="n">
        <v>0.0357181467112601</v>
      </c>
      <c r="AD113" s="2" t="n">
        <v>4.55269896966945E-005</v>
      </c>
      <c r="AE113" s="2" t="n">
        <v>0</v>
      </c>
      <c r="AF113" s="2" t="n">
        <v>0.0103037324629964</v>
      </c>
      <c r="AG113" s="2" t="n">
        <v>0.377338569754221</v>
      </c>
      <c r="AH113" s="2" t="n">
        <v>0.243787952264284</v>
      </c>
      <c r="AI113" s="2" t="n">
        <v>0.378873477981495</v>
      </c>
      <c r="AJ113" s="2" t="n">
        <v>60.7506774188237</v>
      </c>
      <c r="AK113" s="2"/>
      <c r="AL113" s="2"/>
      <c r="AM113" s="2"/>
      <c r="AN113" s="2"/>
      <c r="AO113" s="2"/>
      <c r="AP113" s="2" t="n">
        <v>4.06143237753535</v>
      </c>
      <c r="AQ113" s="2" t="n">
        <v>3.6698795001092</v>
      </c>
      <c r="AR113" s="2" t="n">
        <v>4.6769816438737</v>
      </c>
      <c r="AS113" s="2" t="n">
        <v>1052.26513671875</v>
      </c>
      <c r="AT113" s="2" t="n">
        <v>1048.16740722656</v>
      </c>
      <c r="AU113" s="2" t="n">
        <v>1056.25012512207</v>
      </c>
      <c r="AV113" s="2" t="n">
        <v>13.7797845375706</v>
      </c>
      <c r="AW113" s="2" t="n">
        <v>12.4948484634107</v>
      </c>
      <c r="AX113" s="2" t="n">
        <v>15.7810127955924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</row>
    <row r="114" customFormat="false" ht="15" hidden="false" customHeight="false" outlineLevel="0" collapsed="false">
      <c r="A114" s="2" t="s">
        <v>322</v>
      </c>
      <c r="B114" s="2" t="n">
        <v>2009</v>
      </c>
      <c r="C114" s="2" t="s">
        <v>281</v>
      </c>
      <c r="D114" s="2" t="s">
        <v>282</v>
      </c>
      <c r="E114" s="2" t="n">
        <v>30</v>
      </c>
      <c r="F114" s="2" t="s">
        <v>323</v>
      </c>
      <c r="G114" s="2" t="s">
        <v>97</v>
      </c>
      <c r="H114" s="2" t="s">
        <v>97</v>
      </c>
      <c r="I114" s="2" t="n">
        <v>1</v>
      </c>
      <c r="J114" s="2" t="s">
        <v>88</v>
      </c>
      <c r="K114" s="2" t="n">
        <v>51.7028472601062</v>
      </c>
      <c r="L114" s="2" t="n">
        <v>1.0932</v>
      </c>
      <c r="M114" s="2" t="n">
        <v>2.28</v>
      </c>
      <c r="N114" s="2" t="n">
        <v>7.48</v>
      </c>
      <c r="O114" s="2" t="n">
        <v>0.176</v>
      </c>
      <c r="P114" s="2" t="n">
        <v>16.398345713761</v>
      </c>
      <c r="Q114" s="2" t="n">
        <v>19.0039711950472</v>
      </c>
      <c r="R114" s="2" t="n">
        <v>0.2581</v>
      </c>
      <c r="S114" s="2" t="n">
        <v>0</v>
      </c>
      <c r="T114" s="2" t="n">
        <v>0.1408</v>
      </c>
      <c r="U114" s="2" t="n">
        <v>98.5332641689144</v>
      </c>
      <c r="V114" s="2" t="n">
        <v>2.67477538905308</v>
      </c>
      <c r="W114" s="2" t="n">
        <v>1.93027663859756</v>
      </c>
      <c r="X114" s="2" t="n">
        <v>0.0307045480039844</v>
      </c>
      <c r="Y114" s="2" t="n">
        <v>0.100321655043942</v>
      </c>
      <c r="Z114" s="2" t="n">
        <v>0.233547393924399</v>
      </c>
      <c r="AA114" s="2" t="n">
        <v>0.912674296533848</v>
      </c>
      <c r="AB114" s="2" t="n">
        <v>0.760192400201358</v>
      </c>
      <c r="AC114" s="2" t="n">
        <v>0.018682602223152</v>
      </c>
      <c r="AD114" s="2" t="n">
        <v>0</v>
      </c>
      <c r="AE114" s="2" t="n">
        <v>0.00415586628847044</v>
      </c>
      <c r="AF114" s="2" t="n">
        <v>0.00556533789812939</v>
      </c>
      <c r="AG114" s="2" t="n">
        <v>0.478738748840274</v>
      </c>
      <c r="AH114" s="2" t="n">
        <v>0.122506120296034</v>
      </c>
      <c r="AI114" s="2" t="n">
        <v>0.398755130863693</v>
      </c>
      <c r="AJ114" s="2" t="n">
        <v>79.6245878202646</v>
      </c>
      <c r="AK114" s="2" t="n">
        <v>0.0697162433472491</v>
      </c>
      <c r="AL114" s="2" t="n">
        <v>0.0306062825499689</v>
      </c>
      <c r="AM114" s="2" t="n">
        <v>0.0186827945433065</v>
      </c>
      <c r="AN114" s="2" t="n">
        <v>0.0119234880066624</v>
      </c>
      <c r="AO114" s="2" t="n">
        <v>0.0288963776702934</v>
      </c>
      <c r="AP114" s="2" t="n">
        <v>0</v>
      </c>
      <c r="AQ114" s="2" t="n">
        <v>0</v>
      </c>
      <c r="AR114" s="2" t="n">
        <v>0.111152042026251</v>
      </c>
      <c r="AS114" s="2" t="n">
        <v>1125.42016601563</v>
      </c>
      <c r="AT114" s="2" t="n">
        <v>1102.48774414063</v>
      </c>
      <c r="AU114" s="2" t="n">
        <v>1131.92454223633</v>
      </c>
      <c r="AV114" s="2" t="n">
        <v>0</v>
      </c>
      <c r="AW114" s="2" t="n">
        <v>0</v>
      </c>
      <c r="AX114" s="2" t="n">
        <v>0.390425114833765</v>
      </c>
      <c r="AY114" s="2" t="n">
        <v>2.09711166490419</v>
      </c>
      <c r="AZ114" s="2" t="n">
        <v>0.16218446874354</v>
      </c>
      <c r="BA114" s="2" t="n">
        <v>1.47835687744135</v>
      </c>
      <c r="BB114" s="2" t="n">
        <v>2.68941859381815</v>
      </c>
      <c r="BC114" s="2" t="n">
        <v>1455.19432104258</v>
      </c>
      <c r="BD114" s="2" t="n">
        <v>3.16752342951348</v>
      </c>
      <c r="BE114" s="2" t="n">
        <v>72</v>
      </c>
      <c r="BF114" s="2" t="n">
        <v>72</v>
      </c>
      <c r="BG114" s="2" t="n">
        <v>7.2399792193838</v>
      </c>
      <c r="BH114" s="2" t="n">
        <v>0.569427368457792</v>
      </c>
      <c r="BI114" s="2" t="n">
        <v>5.13153311196659</v>
      </c>
      <c r="BJ114" s="2" t="n">
        <v>9.23656777111016</v>
      </c>
      <c r="BK114" s="2" t="n">
        <v>0</v>
      </c>
      <c r="BL114" s="2" t="n">
        <v>0</v>
      </c>
      <c r="BM114" s="2" t="n">
        <v>0.127059984648279</v>
      </c>
      <c r="BN114" s="2" t="n">
        <v>72000</v>
      </c>
      <c r="BO114" s="2" t="n">
        <v>1161.35479736328</v>
      </c>
      <c r="BP114" s="2" t="n">
        <v>1153.77459106445</v>
      </c>
      <c r="BQ114" s="2" t="n">
        <v>1164.04809570313</v>
      </c>
      <c r="BR114" s="2" t="n">
        <v>72000</v>
      </c>
      <c r="BS114" s="2" t="n">
        <v>0</v>
      </c>
      <c r="BT114" s="2" t="n">
        <v>0</v>
      </c>
      <c r="BU114" s="2" t="n">
        <v>0.44624102956201</v>
      </c>
      <c r="BV114" s="2" t="n">
        <v>48.77</v>
      </c>
      <c r="BW114" s="2" t="n">
        <v>3.43</v>
      </c>
      <c r="BX114" s="2" t="n">
        <v>13.84</v>
      </c>
      <c r="BY114" s="2" t="n">
        <v>11.98</v>
      </c>
      <c r="BZ114" s="2" t="n">
        <v>0.17</v>
      </c>
      <c r="CA114" s="2" t="n">
        <v>6.53</v>
      </c>
      <c r="CB114" s="2" t="n">
        <v>11.6</v>
      </c>
      <c r="CC114" s="2" t="n">
        <v>2.96</v>
      </c>
      <c r="CD114" s="2" t="n">
        <v>0.45</v>
      </c>
      <c r="CE114" s="2" t="n">
        <v>0.27</v>
      </c>
      <c r="CF114" s="2" t="n">
        <v>0.15</v>
      </c>
    </row>
    <row r="115" customFormat="false" ht="15" hidden="false" customHeight="false" outlineLevel="0" collapsed="false">
      <c r="A115" s="2" t="s">
        <v>324</v>
      </c>
      <c r="B115" s="2" t="n">
        <v>2009</v>
      </c>
      <c r="C115" s="2" t="s">
        <v>281</v>
      </c>
      <c r="D115" s="2" t="s">
        <v>282</v>
      </c>
      <c r="E115" s="2" t="n">
        <v>31</v>
      </c>
      <c r="F115" s="2" t="s">
        <v>325</v>
      </c>
      <c r="G115" s="2" t="s">
        <v>93</v>
      </c>
      <c r="H115" s="2" t="s">
        <v>89</v>
      </c>
      <c r="I115" s="2" t="n">
        <v>1</v>
      </c>
      <c r="J115" s="2" t="s">
        <v>88</v>
      </c>
      <c r="K115" s="2" t="n">
        <v>51.7529857853779</v>
      </c>
      <c r="L115" s="2" t="n">
        <v>1.0003</v>
      </c>
      <c r="M115" s="2" t="n">
        <v>2.53</v>
      </c>
      <c r="N115" s="2" t="n">
        <v>6.78</v>
      </c>
      <c r="O115" s="2" t="n">
        <v>0.1738</v>
      </c>
      <c r="P115" s="2" t="n">
        <v>16.8347298397925</v>
      </c>
      <c r="Q115" s="2" t="n">
        <v>19.1121718592012</v>
      </c>
      <c r="R115" s="2" t="n">
        <v>0.2479</v>
      </c>
      <c r="S115" s="2" t="n">
        <v>0</v>
      </c>
      <c r="T115" s="2" t="n">
        <v>0.4675</v>
      </c>
      <c r="U115" s="2" t="n">
        <v>98.8993874843715</v>
      </c>
      <c r="V115" s="2" t="n">
        <v>2.69073971810805</v>
      </c>
      <c r="W115" s="2" t="n">
        <v>1.92068495334276</v>
      </c>
      <c r="X115" s="2" t="n">
        <v>0.0279285882638666</v>
      </c>
      <c r="Y115" s="2" t="n">
        <v>0.110661357016003</v>
      </c>
      <c r="Z115" s="2" t="n">
        <v>0.210435376181674</v>
      </c>
      <c r="AA115" s="2" t="n">
        <v>0.93140284920154</v>
      </c>
      <c r="AB115" s="2" t="n">
        <v>0.759984668585935</v>
      </c>
      <c r="AC115" s="2" t="n">
        <v>0.0178378093776725</v>
      </c>
      <c r="AD115" s="2" t="n">
        <v>0</v>
      </c>
      <c r="AE115" s="2" t="n">
        <v>0.0137169057817536</v>
      </c>
      <c r="AF115" s="2" t="n">
        <v>0.00546316441617619</v>
      </c>
      <c r="AG115" s="2" t="n">
        <v>0.489742158512815</v>
      </c>
      <c r="AH115" s="2" t="n">
        <v>0.110649302229447</v>
      </c>
      <c r="AI115" s="2" t="n">
        <v>0.399608539257738</v>
      </c>
      <c r="AJ115" s="2" t="n">
        <v>81.5704736885079</v>
      </c>
      <c r="AK115" s="2" t="n">
        <v>0.0793084526462102</v>
      </c>
      <c r="AL115" s="2" t="n">
        <v>0.0313538368226271</v>
      </c>
      <c r="AM115" s="2" t="n">
        <v>0.0178379884630144</v>
      </c>
      <c r="AN115" s="2" t="n">
        <v>0.0135158483596128</v>
      </c>
      <c r="AO115" s="2" t="n">
        <v>0.0328963021432987</v>
      </c>
      <c r="AP115" s="2" t="n">
        <v>0.203282723794766</v>
      </c>
      <c r="AQ115" s="2" t="n">
        <v>0</v>
      </c>
      <c r="AR115" s="2" t="n">
        <v>0.467397237788029</v>
      </c>
      <c r="AS115" s="2" t="n">
        <v>1123.43286132813</v>
      </c>
      <c r="AT115" s="2" t="n">
        <v>1101.51936950684</v>
      </c>
      <c r="AU115" s="2" t="n">
        <v>1142.37708435059</v>
      </c>
      <c r="AV115" s="2" t="n">
        <v>0.713469615456476</v>
      </c>
      <c r="AW115" s="2" t="n">
        <v>0</v>
      </c>
      <c r="AX115" s="2" t="n">
        <v>1.63670260494881</v>
      </c>
      <c r="AY115" s="2" t="n">
        <v>1.90676924911706</v>
      </c>
      <c r="AZ115" s="2" t="n">
        <v>0.132529544390109</v>
      </c>
      <c r="BA115" s="2" t="n">
        <v>1.28627070953763</v>
      </c>
      <c r="BB115" s="2" t="n">
        <v>2.50135716120295</v>
      </c>
      <c r="BC115" s="2" t="n">
        <v>1454.41236915736</v>
      </c>
      <c r="BD115" s="2" t="n">
        <v>2.35538486466361</v>
      </c>
      <c r="BE115" s="2" t="n">
        <v>71</v>
      </c>
      <c r="BF115" s="2" t="n">
        <v>71</v>
      </c>
      <c r="BG115" s="2" t="n">
        <v>6.5938462031985</v>
      </c>
      <c r="BH115" s="2" t="n">
        <v>0.465428433493055</v>
      </c>
      <c r="BI115" s="2" t="n">
        <v>4.47226806981544</v>
      </c>
      <c r="BJ115" s="2" t="n">
        <v>8.60494097734203</v>
      </c>
      <c r="BK115" s="2" t="n">
        <v>0</v>
      </c>
      <c r="BL115" s="2" t="n">
        <v>0</v>
      </c>
      <c r="BM115" s="2" t="n">
        <v>0.282652099707367</v>
      </c>
      <c r="BN115" s="2" t="n">
        <v>71000</v>
      </c>
      <c r="BO115" s="2" t="n">
        <v>1161.57501220703</v>
      </c>
      <c r="BP115" s="2" t="n">
        <v>1156.38739013672</v>
      </c>
      <c r="BQ115" s="2" t="n">
        <v>1164.42164001465</v>
      </c>
      <c r="BR115" s="2" t="n">
        <v>71000</v>
      </c>
      <c r="BS115" s="2" t="n">
        <v>0</v>
      </c>
      <c r="BT115" s="2" t="n">
        <v>0</v>
      </c>
      <c r="BU115" s="2" t="n">
        <v>0.991355783414221</v>
      </c>
      <c r="BV115" s="2" t="n">
        <v>48.77</v>
      </c>
      <c r="BW115" s="2" t="n">
        <v>3.43</v>
      </c>
      <c r="BX115" s="2" t="n">
        <v>13.84</v>
      </c>
      <c r="BY115" s="2" t="n">
        <v>11.98</v>
      </c>
      <c r="BZ115" s="2" t="n">
        <v>0.17</v>
      </c>
      <c r="CA115" s="2" t="n">
        <v>6.53</v>
      </c>
      <c r="CB115" s="2" t="n">
        <v>11.6</v>
      </c>
      <c r="CC115" s="2" t="n">
        <v>2.96</v>
      </c>
      <c r="CD115" s="2" t="n">
        <v>0.45</v>
      </c>
      <c r="CE115" s="2" t="n">
        <v>0.27</v>
      </c>
      <c r="CF115" s="2" t="n">
        <v>0.15</v>
      </c>
    </row>
    <row r="116" customFormat="false" ht="15" hidden="false" customHeight="false" outlineLevel="0" collapsed="false">
      <c r="A116" s="2" t="s">
        <v>326</v>
      </c>
      <c r="B116" s="2" t="n">
        <v>2009</v>
      </c>
      <c r="C116" s="2" t="s">
        <v>281</v>
      </c>
      <c r="D116" s="2" t="s">
        <v>282</v>
      </c>
      <c r="E116" s="2" t="n">
        <v>32</v>
      </c>
      <c r="F116" s="2" t="s">
        <v>327</v>
      </c>
      <c r="G116" s="2" t="s">
        <v>93</v>
      </c>
      <c r="H116" s="2" t="s">
        <v>89</v>
      </c>
      <c r="I116" s="2" t="n">
        <v>1</v>
      </c>
      <c r="J116" s="2" t="s">
        <v>88</v>
      </c>
      <c r="K116" s="2" t="n">
        <v>48.714591153917</v>
      </c>
      <c r="L116" s="2" t="n">
        <v>1.89</v>
      </c>
      <c r="M116" s="2" t="n">
        <v>4.76</v>
      </c>
      <c r="N116" s="2" t="n">
        <v>7.04</v>
      </c>
      <c r="O116" s="2" t="n">
        <v>0.1314</v>
      </c>
      <c r="P116" s="2" t="n">
        <v>14.6722040596809</v>
      </c>
      <c r="Q116" s="2" t="n">
        <v>20.1646692286991</v>
      </c>
      <c r="R116" s="2" t="n">
        <v>0.3171</v>
      </c>
      <c r="S116" s="2" t="n">
        <v>0</v>
      </c>
      <c r="T116" s="2" t="n">
        <v>0.5847</v>
      </c>
      <c r="U116" s="2" t="n">
        <v>98.274664442297</v>
      </c>
      <c r="V116" s="2" t="n">
        <v>2.64905930236037</v>
      </c>
      <c r="W116" s="2" t="n">
        <v>1.83636833007359</v>
      </c>
      <c r="X116" s="2" t="n">
        <v>0.0535994739921927</v>
      </c>
      <c r="Y116" s="2" t="n">
        <v>0.211476654768628</v>
      </c>
      <c r="Z116" s="2" t="n">
        <v>0.221943139328026</v>
      </c>
      <c r="AA116" s="2" t="n">
        <v>0.824530600552855</v>
      </c>
      <c r="AB116" s="2" t="n">
        <v>0.81445276207698</v>
      </c>
      <c r="AC116" s="2" t="n">
        <v>0.023176147310283</v>
      </c>
      <c r="AD116" s="2" t="n">
        <v>0</v>
      </c>
      <c r="AE116" s="2" t="n">
        <v>0.0174255960807144</v>
      </c>
      <c r="AF116" s="2" t="n">
        <v>0.00419536617989692</v>
      </c>
      <c r="AG116" s="2" t="n">
        <v>0.443075317421389</v>
      </c>
      <c r="AH116" s="2" t="n">
        <v>0.119264860323351</v>
      </c>
      <c r="AI116" s="2" t="n">
        <v>0.43765982225526</v>
      </c>
      <c r="AJ116" s="2" t="n">
        <v>78.7913321787426</v>
      </c>
      <c r="AK116" s="2" t="n">
        <v>0.163622976026048</v>
      </c>
      <c r="AL116" s="2" t="n">
        <v>0.0478557358444141</v>
      </c>
      <c r="AM116" s="2" t="n">
        <v>0.0231764101461378</v>
      </c>
      <c r="AN116" s="2" t="n">
        <v>0.0246793256982763</v>
      </c>
      <c r="AO116" s="2" t="n">
        <v>0.0694718251638856</v>
      </c>
      <c r="AP116" s="2" t="n">
        <v>2.43480707664989</v>
      </c>
      <c r="AQ116" s="2" t="n">
        <v>1.97861383219265</v>
      </c>
      <c r="AR116" s="2" t="n">
        <v>3.15349169035457</v>
      </c>
      <c r="AS116" s="2" t="n">
        <v>1113.62658691406</v>
      </c>
      <c r="AT116" s="2" t="n">
        <v>1105.71611328125</v>
      </c>
      <c r="AU116" s="2" t="n">
        <v>1116.51336669922</v>
      </c>
      <c r="AV116" s="2" t="n">
        <v>8.38091115012807</v>
      </c>
      <c r="AW116" s="2" t="n">
        <v>6.83798651788872</v>
      </c>
      <c r="AX116" s="2" t="n">
        <v>10.7860427859312</v>
      </c>
      <c r="AY116" s="2" t="n">
        <v>3.32493101142441</v>
      </c>
      <c r="AZ116" s="2" t="n">
        <v>0.171417934226522</v>
      </c>
      <c r="BA116" s="2" t="n">
        <v>2.81871623232359</v>
      </c>
      <c r="BB116" s="2" t="n">
        <v>3.84036548855741</v>
      </c>
      <c r="BC116" s="2" t="n">
        <v>1457.2187858674</v>
      </c>
      <c r="BD116" s="2" t="n">
        <v>3.35523055721034</v>
      </c>
      <c r="BE116" s="2" t="n">
        <v>27</v>
      </c>
      <c r="BF116" s="2" t="n">
        <v>27</v>
      </c>
      <c r="BG116" s="2" t="n">
        <v>11.3551534062759</v>
      </c>
      <c r="BH116" s="2" t="n">
        <v>0.601797976469341</v>
      </c>
      <c r="BI116" s="2" t="n">
        <v>9.66958601691607</v>
      </c>
      <c r="BJ116" s="2" t="n">
        <v>13.0554642865222</v>
      </c>
      <c r="BK116" s="2" t="n">
        <v>1.7020201165858</v>
      </c>
      <c r="BL116" s="2" t="n">
        <v>1.14856235454367</v>
      </c>
      <c r="BM116" s="2" t="n">
        <v>2.21098835459979</v>
      </c>
      <c r="BN116" s="2" t="n">
        <v>27000</v>
      </c>
      <c r="BO116" s="2" t="n">
        <v>1159.14990234375</v>
      </c>
      <c r="BP116" s="2" t="n">
        <v>1148.38618469238</v>
      </c>
      <c r="BQ116" s="2" t="n">
        <v>1162.72552185059</v>
      </c>
      <c r="BR116" s="2" t="n">
        <v>27000</v>
      </c>
      <c r="BS116" s="2" t="n">
        <v>5.89635729184294</v>
      </c>
      <c r="BT116" s="2" t="n">
        <v>3.99825875922717</v>
      </c>
      <c r="BU116" s="2" t="n">
        <v>7.62549332996086</v>
      </c>
      <c r="BV116" s="2" t="n">
        <v>48.8</v>
      </c>
      <c r="BW116" s="2" t="n">
        <v>3.44</v>
      </c>
      <c r="BX116" s="2" t="n">
        <v>13.74</v>
      </c>
      <c r="BY116" s="2" t="n">
        <v>11.98</v>
      </c>
      <c r="BZ116" s="2" t="n">
        <v>0.22</v>
      </c>
      <c r="CA116" s="2" t="n">
        <v>6.49</v>
      </c>
      <c r="CB116" s="2" t="n">
        <v>11.59</v>
      </c>
      <c r="CC116" s="2" t="n">
        <v>2.96</v>
      </c>
      <c r="CD116" s="2" t="n">
        <v>0.49</v>
      </c>
      <c r="CE116" s="2" t="n">
        <v>0.28</v>
      </c>
      <c r="CF116" s="2" t="n">
        <v>0.15</v>
      </c>
    </row>
    <row r="117" customFormat="false" ht="15" hidden="false" customHeight="false" outlineLevel="0" collapsed="false">
      <c r="A117" s="2" t="s">
        <v>328</v>
      </c>
      <c r="B117" s="2" t="n">
        <v>2009</v>
      </c>
      <c r="C117" s="2" t="s">
        <v>281</v>
      </c>
      <c r="D117" s="2" t="s">
        <v>282</v>
      </c>
      <c r="E117" s="2" t="n">
        <v>33</v>
      </c>
      <c r="F117" s="2" t="s">
        <v>329</v>
      </c>
      <c r="G117" s="2" t="s">
        <v>88</v>
      </c>
      <c r="H117" s="2" t="s">
        <v>94</v>
      </c>
      <c r="I117" s="2" t="n">
        <v>1</v>
      </c>
      <c r="J117" s="2" t="s">
        <v>88</v>
      </c>
      <c r="K117" s="2" t="n">
        <v>47.9825686849512</v>
      </c>
      <c r="L117" s="2" t="n">
        <v>2.37</v>
      </c>
      <c r="M117" s="2" t="n">
        <v>5.61</v>
      </c>
      <c r="N117" s="2" t="n">
        <v>7.63</v>
      </c>
      <c r="O117" s="2" t="n">
        <v>0.1494</v>
      </c>
      <c r="P117" s="2" t="n">
        <v>14.4297684341079</v>
      </c>
      <c r="Q117" s="2" t="n">
        <v>19.5056288197611</v>
      </c>
      <c r="R117" s="2" t="n">
        <v>0.3689</v>
      </c>
      <c r="S117" s="2" t="n">
        <v>0</v>
      </c>
      <c r="T117" s="2" t="n">
        <v>0.6133</v>
      </c>
      <c r="U117" s="2" t="n">
        <v>98.6595659388202</v>
      </c>
      <c r="V117" s="2" t="n">
        <v>2.65382114746514</v>
      </c>
      <c r="W117" s="2" t="n">
        <v>1.80552811740589</v>
      </c>
      <c r="X117" s="2" t="n">
        <v>0.0670914378782295</v>
      </c>
      <c r="Y117" s="2" t="n">
        <v>0.248793122361177</v>
      </c>
      <c r="Z117" s="2" t="n">
        <v>0.240111871968623</v>
      </c>
      <c r="AA117" s="2" t="n">
        <v>0.809451461220441</v>
      </c>
      <c r="AB117" s="2" t="n">
        <v>0.78642042353849</v>
      </c>
      <c r="AC117" s="2" t="n">
        <v>0.0269137172764174</v>
      </c>
      <c r="AD117" s="2" t="n">
        <v>0</v>
      </c>
      <c r="AE117" s="2" t="n">
        <v>0.0182451544424813</v>
      </c>
      <c r="AF117" s="2" t="n">
        <v>0.00476151476358269</v>
      </c>
      <c r="AG117" s="2" t="n">
        <v>0.440881602712653</v>
      </c>
      <c r="AH117" s="2" t="n">
        <v>0.130781043725897</v>
      </c>
      <c r="AI117" s="2" t="n">
        <v>0.42833735356145</v>
      </c>
      <c r="AJ117" s="2" t="n">
        <v>77.1226886100288</v>
      </c>
      <c r="AK117" s="2" t="n">
        <v>0.194461948666022</v>
      </c>
      <c r="AL117" s="2" t="n">
        <v>0.0543337847761699</v>
      </c>
      <c r="AM117" s="2" t="n">
        <v>0.0269140431600322</v>
      </c>
      <c r="AN117" s="2" t="n">
        <v>0.0274197416161376</v>
      </c>
      <c r="AO117" s="2" t="n">
        <v>0.0835211035249423</v>
      </c>
      <c r="AP117" s="2" t="n">
        <v>3.47749878933576</v>
      </c>
      <c r="AQ117" s="2" t="n">
        <v>3.00747064521459</v>
      </c>
      <c r="AR117" s="2" t="n">
        <v>4.17727651169447</v>
      </c>
      <c r="AS117" s="2" t="n">
        <v>1121.70678710938</v>
      </c>
      <c r="AT117" s="2" t="n">
        <v>1117.90226745606</v>
      </c>
      <c r="AU117" s="2" t="n">
        <v>1125.24115905762</v>
      </c>
      <c r="AV117" s="2" t="n">
        <v>11.8601201591817</v>
      </c>
      <c r="AW117" s="2" t="n">
        <v>10.2999061871506</v>
      </c>
      <c r="AX117" s="2" t="n">
        <v>14.1581624240954</v>
      </c>
      <c r="AY117" s="2" t="n">
        <v>4.32683692431586</v>
      </c>
      <c r="AZ117" s="2" t="n">
        <v>0.167290005306054</v>
      </c>
      <c r="BA117" s="2" t="n">
        <v>3.93457052703686</v>
      </c>
      <c r="BB117" s="2" t="n">
        <v>4.72634563985318</v>
      </c>
      <c r="BC117" s="2" t="n">
        <v>1468.79532951877</v>
      </c>
      <c r="BD117" s="2" t="n">
        <v>1.575888851467</v>
      </c>
      <c r="BE117" s="2" t="n">
        <v>3</v>
      </c>
      <c r="BF117" s="2" t="n">
        <v>3</v>
      </c>
      <c r="BG117" s="2" t="n">
        <v>14.6454639537825</v>
      </c>
      <c r="BH117" s="2" t="n">
        <v>0.587326955495533</v>
      </c>
      <c r="BI117" s="2" t="n">
        <v>13.3644869054724</v>
      </c>
      <c r="BJ117" s="2" t="n">
        <v>15.9405068390068</v>
      </c>
      <c r="BK117" s="2" t="n">
        <v>2.25471814435561</v>
      </c>
      <c r="BL117" s="2" t="n">
        <v>1.82677073857692</v>
      </c>
      <c r="BM117" s="2" t="n">
        <v>3.35959870292168</v>
      </c>
      <c r="BN117" s="2" t="n">
        <v>3000</v>
      </c>
      <c r="BO117" s="2" t="n">
        <v>1156.09686279297</v>
      </c>
      <c r="BP117" s="2" t="n">
        <v>1147.68031616211</v>
      </c>
      <c r="BQ117" s="2" t="n">
        <v>1160.34821472168</v>
      </c>
      <c r="BR117" s="2" t="n">
        <v>3000</v>
      </c>
      <c r="BS117" s="2" t="n">
        <v>7.77332578025214</v>
      </c>
      <c r="BT117" s="2" t="n">
        <v>6.32162937242358</v>
      </c>
      <c r="BU117" s="2" t="n">
        <v>11.4700199052287</v>
      </c>
      <c r="BV117" s="2" t="n">
        <v>48.29</v>
      </c>
      <c r="BW117" s="2" t="n">
        <v>3.69</v>
      </c>
      <c r="BX117" s="2" t="n">
        <v>13.65</v>
      </c>
      <c r="BY117" s="2" t="n">
        <v>12.67</v>
      </c>
      <c r="BZ117" s="2" t="n">
        <v>0.18</v>
      </c>
      <c r="CA117" s="2" t="n">
        <v>6.25</v>
      </c>
      <c r="CB117" s="2" t="n">
        <v>11.35</v>
      </c>
      <c r="CC117" s="2" t="n">
        <v>3.11</v>
      </c>
      <c r="CD117" s="2" t="n">
        <v>0.49</v>
      </c>
      <c r="CE117" s="2" t="n">
        <v>0.33</v>
      </c>
      <c r="CF117" s="2" t="n">
        <v>0.15</v>
      </c>
    </row>
    <row r="118" customFormat="false" ht="15" hidden="false" customHeight="false" outlineLevel="0" collapsed="false">
      <c r="A118" s="2" t="s">
        <v>330</v>
      </c>
      <c r="B118" s="2" t="n">
        <v>2009</v>
      </c>
      <c r="C118" s="2" t="s">
        <v>281</v>
      </c>
      <c r="D118" s="2" t="s">
        <v>282</v>
      </c>
      <c r="E118" s="2" t="n">
        <v>34</v>
      </c>
      <c r="F118" s="2" t="s">
        <v>331</v>
      </c>
      <c r="G118" s="2" t="s">
        <v>88</v>
      </c>
      <c r="H118" s="2" t="s">
        <v>108</v>
      </c>
      <c r="I118" s="2" t="n">
        <v>2</v>
      </c>
      <c r="J118" s="2" t="s">
        <v>88</v>
      </c>
      <c r="K118" s="2" t="n">
        <v>50.2789131423919</v>
      </c>
      <c r="L118" s="2" t="n">
        <v>1.3675</v>
      </c>
      <c r="M118" s="2" t="n">
        <v>4.19</v>
      </c>
      <c r="N118" s="2" t="n">
        <v>7.2</v>
      </c>
      <c r="O118" s="2" t="n">
        <v>0.1581</v>
      </c>
      <c r="P118" s="2" t="n">
        <v>15.9910538627983</v>
      </c>
      <c r="Q118" s="2" t="n">
        <v>19.0039711950472</v>
      </c>
      <c r="R118" s="2" t="n">
        <v>0.2914</v>
      </c>
      <c r="S118" s="2" t="n">
        <v>0.0027</v>
      </c>
      <c r="T118" s="2" t="n">
        <v>0.2706</v>
      </c>
      <c r="U118" s="2" t="n">
        <v>98.7542382002373</v>
      </c>
      <c r="V118" s="2" t="n">
        <v>2.67931700372989</v>
      </c>
      <c r="W118" s="2" t="n">
        <v>1.87393358094597</v>
      </c>
      <c r="X118" s="2" t="n">
        <v>0.0383436665191941</v>
      </c>
      <c r="Y118" s="2" t="n">
        <v>0.184050534291107</v>
      </c>
      <c r="Z118" s="2" t="n">
        <v>0.224423919209865</v>
      </c>
      <c r="AA118" s="2" t="n">
        <v>0.8884972461943</v>
      </c>
      <c r="AB118" s="2" t="n">
        <v>0.758903825181249</v>
      </c>
      <c r="AC118" s="2" t="n">
        <v>0.0210572730363391</v>
      </c>
      <c r="AD118" s="2" t="n">
        <v>0.000128378725397157</v>
      </c>
      <c r="AE118" s="2" t="n">
        <v>0.00797351695024991</v>
      </c>
      <c r="AF118" s="2" t="n">
        <v>0.0049908435717383</v>
      </c>
      <c r="AG118" s="2" t="n">
        <v>0.474668973148191</v>
      </c>
      <c r="AH118" s="2" t="n">
        <v>0.119895781036493</v>
      </c>
      <c r="AI118" s="2" t="n">
        <v>0.405435245815316</v>
      </c>
      <c r="AJ118" s="2" t="n">
        <v>79.8346975341812</v>
      </c>
      <c r="AK118" s="2" t="n">
        <v>0.126059015573478</v>
      </c>
      <c r="AL118" s="2" t="n">
        <v>0.0579931648287048</v>
      </c>
      <c r="AM118" s="2" t="n">
        <v>0.021057495343577</v>
      </c>
      <c r="AN118" s="2" t="n">
        <v>0.0369356694851277</v>
      </c>
      <c r="AO118" s="2" t="n">
        <v>0.0445616730441754</v>
      </c>
      <c r="AP118" s="2" t="n">
        <v>2.8634034112471</v>
      </c>
      <c r="AQ118" s="2" t="n">
        <v>2.68183819208321</v>
      </c>
      <c r="AR118" s="2" t="n">
        <v>3.16463403258499</v>
      </c>
      <c r="AS118" s="2" t="n">
        <v>1105.06896972656</v>
      </c>
      <c r="AT118" s="2" t="n">
        <v>1098.51600646973</v>
      </c>
      <c r="AU118" s="2" t="n">
        <v>1110.31074523926</v>
      </c>
      <c r="AV118" s="2" t="n">
        <v>9.81900795700878</v>
      </c>
      <c r="AW118" s="2" t="n">
        <v>9.21114954006332</v>
      </c>
      <c r="AX118" s="2" t="n">
        <v>10.8230850657917</v>
      </c>
      <c r="AY118" s="2" t="n">
        <v>3.17146991202843</v>
      </c>
      <c r="AZ118" s="2" t="n">
        <v>0.161858273933014</v>
      </c>
      <c r="BA118" s="2" t="n">
        <v>2.58506305118706</v>
      </c>
      <c r="BB118" s="2" t="n">
        <v>3.74551022264857</v>
      </c>
      <c r="BC118" s="2" t="n">
        <v>1468.03039155463</v>
      </c>
      <c r="BD118" s="2" t="n">
        <v>3.34181375136544</v>
      </c>
      <c r="BE118" s="2" t="n">
        <v>76</v>
      </c>
      <c r="BF118" s="2" t="n">
        <v>76</v>
      </c>
      <c r="BG118" s="2" t="n">
        <v>10.8458069551929</v>
      </c>
      <c r="BH118" s="2" t="n">
        <v>0.568283702865614</v>
      </c>
      <c r="BI118" s="2" t="n">
        <v>8.88634188701661</v>
      </c>
      <c r="BJ118" s="2" t="n">
        <v>12.7437653329228</v>
      </c>
      <c r="BK118" s="2" t="n">
        <v>1.79894614215331</v>
      </c>
      <c r="BL118" s="2" t="n">
        <v>1.04590494435838</v>
      </c>
      <c r="BM118" s="2" t="n">
        <v>2.52676136581967</v>
      </c>
      <c r="BN118" s="2" t="n">
        <v>76000</v>
      </c>
      <c r="BO118" s="2" t="n">
        <v>1164.74420166016</v>
      </c>
      <c r="BP118" s="2" t="n">
        <v>1155.65404663086</v>
      </c>
      <c r="BQ118" s="2" t="n">
        <v>1169.14526367188</v>
      </c>
      <c r="BR118" s="2" t="n">
        <v>76000</v>
      </c>
      <c r="BS118" s="2" t="n">
        <v>6.22685766235906</v>
      </c>
      <c r="BT118" s="2" t="n">
        <v>3.64415150414484</v>
      </c>
      <c r="BU118" s="2" t="n">
        <v>8.69038923919148</v>
      </c>
      <c r="BV118" s="2" t="n">
        <v>48.77</v>
      </c>
      <c r="BW118" s="2" t="n">
        <v>3.43</v>
      </c>
      <c r="BX118" s="2" t="n">
        <v>13.84</v>
      </c>
      <c r="BY118" s="2" t="n">
        <v>11.98</v>
      </c>
      <c r="BZ118" s="2" t="n">
        <v>0.17</v>
      </c>
      <c r="CA118" s="2" t="n">
        <v>6.53</v>
      </c>
      <c r="CB118" s="2" t="n">
        <v>11.6</v>
      </c>
      <c r="CC118" s="2" t="n">
        <v>2.96</v>
      </c>
      <c r="CD118" s="2" t="n">
        <v>0.45</v>
      </c>
      <c r="CE118" s="2" t="n">
        <v>0.27</v>
      </c>
      <c r="CF118" s="2" t="n">
        <v>0.15</v>
      </c>
    </row>
    <row r="119" customFormat="false" ht="15" hidden="false" customHeight="false" outlineLevel="0" collapsed="false">
      <c r="A119" s="2" t="s">
        <v>332</v>
      </c>
      <c r="B119" s="2" t="n">
        <v>2009</v>
      </c>
      <c r="C119" s="2" t="s">
        <v>281</v>
      </c>
      <c r="D119" s="2" t="s">
        <v>282</v>
      </c>
      <c r="E119" s="2" t="n">
        <v>35</v>
      </c>
      <c r="F119" s="2" t="s">
        <v>333</v>
      </c>
      <c r="G119" s="2" t="s">
        <v>88</v>
      </c>
      <c r="H119" s="2" t="s">
        <v>108</v>
      </c>
      <c r="I119" s="2" t="n">
        <v>2</v>
      </c>
      <c r="J119" s="2" t="s">
        <v>88</v>
      </c>
      <c r="K119" s="2" t="n">
        <v>47.5714327777238</v>
      </c>
      <c r="L119" s="2" t="n">
        <v>2.64</v>
      </c>
      <c r="M119" s="2" t="n">
        <v>6.23</v>
      </c>
      <c r="N119" s="2" t="n">
        <v>8.11</v>
      </c>
      <c r="O119" s="2" t="n">
        <v>0.1528</v>
      </c>
      <c r="P119" s="2" t="n">
        <v>14.2746096337411</v>
      </c>
      <c r="Q119" s="2" t="n">
        <v>19.2006996753272</v>
      </c>
      <c r="R119" s="2" t="n">
        <v>0.3689</v>
      </c>
      <c r="S119" s="2" t="n">
        <v>0</v>
      </c>
      <c r="T119" s="2" t="n">
        <v>0.404</v>
      </c>
      <c r="U119" s="2" t="n">
        <v>98.952442086792</v>
      </c>
      <c r="V119" s="2" t="n">
        <v>2.59233856218299</v>
      </c>
      <c r="W119" s="2" t="n">
        <v>1.83251241078195</v>
      </c>
      <c r="X119" s="2" t="n">
        <v>0.0765072533359421</v>
      </c>
      <c r="Y119" s="2" t="n">
        <v>0.282841730850194</v>
      </c>
      <c r="Z119" s="2" t="n">
        <v>0.261270201477697</v>
      </c>
      <c r="AA119" s="2" t="n">
        <v>0.819739043138341</v>
      </c>
      <c r="AB119" s="2" t="n">
        <v>0.792486391209477</v>
      </c>
      <c r="AC119" s="2" t="n">
        <v>0.027552030860085</v>
      </c>
      <c r="AD119" s="2" t="n">
        <v>0</v>
      </c>
      <c r="AE119" s="2" t="n">
        <v>0.0123037040073408</v>
      </c>
      <c r="AF119" s="2" t="n">
        <v>0.00498537489424007</v>
      </c>
      <c r="AG119" s="2" t="n">
        <v>0.437545210921797</v>
      </c>
      <c r="AH119" s="2" t="n">
        <v>0.139455996844409</v>
      </c>
      <c r="AI119" s="2" t="n">
        <v>0.422998792233794</v>
      </c>
      <c r="AJ119" s="2" t="n">
        <v>75.8309003573326</v>
      </c>
      <c r="AK119" s="2"/>
      <c r="AL119" s="2"/>
      <c r="AM119" s="2"/>
      <c r="AN119" s="2"/>
      <c r="AO119" s="2"/>
      <c r="AP119" s="2" t="n">
        <v>2.4426129044549</v>
      </c>
      <c r="AQ119" s="2" t="n">
        <v>2.19012113228007</v>
      </c>
      <c r="AR119" s="2" t="n">
        <v>3.05272156014605</v>
      </c>
      <c r="AS119" s="2" t="n">
        <v>1133.1162109375</v>
      </c>
      <c r="AT119" s="2" t="n">
        <v>1124.22270507813</v>
      </c>
      <c r="AU119" s="2" t="n">
        <v>1141.72514648438</v>
      </c>
      <c r="AV119" s="2" t="n">
        <v>8.4072020694024</v>
      </c>
      <c r="AW119" s="2" t="n">
        <v>7.55490898258947</v>
      </c>
      <c r="AX119" s="2" t="n">
        <v>10.4506947329269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</row>
    <row r="120" customFormat="false" ht="15" hidden="false" customHeight="false" outlineLevel="0" collapsed="false">
      <c r="A120" s="2" t="s">
        <v>334</v>
      </c>
      <c r="B120" s="2" t="n">
        <v>2009</v>
      </c>
      <c r="C120" s="2" t="s">
        <v>281</v>
      </c>
      <c r="D120" s="2" t="s">
        <v>282</v>
      </c>
      <c r="E120" s="2" t="n">
        <v>36</v>
      </c>
      <c r="F120" s="2" t="s">
        <v>335</v>
      </c>
      <c r="G120" s="2" t="s">
        <v>93</v>
      </c>
      <c r="H120" s="2" t="s">
        <v>108</v>
      </c>
      <c r="I120" s="2" t="n">
        <v>2</v>
      </c>
      <c r="J120" s="2" t="s">
        <v>88</v>
      </c>
      <c r="K120" s="2" t="n">
        <v>49.1357547661987</v>
      </c>
      <c r="L120" s="2" t="n">
        <v>1.82</v>
      </c>
      <c r="M120" s="2" t="n">
        <v>4.66</v>
      </c>
      <c r="N120" s="2" t="n">
        <v>7.11</v>
      </c>
      <c r="O120" s="2" t="n">
        <v>0.1426</v>
      </c>
      <c r="P120" s="2" t="n">
        <v>14.7982705849789</v>
      </c>
      <c r="Q120" s="2" t="n">
        <v>20.0564685645451</v>
      </c>
      <c r="R120" s="2" t="n">
        <v>0.3364</v>
      </c>
      <c r="S120" s="2" t="n">
        <v>0.0098</v>
      </c>
      <c r="T120" s="2" t="n">
        <v>0.5782</v>
      </c>
      <c r="U120" s="2" t="n">
        <v>98.6474939157227</v>
      </c>
      <c r="V120" s="2" t="n">
        <v>2.66100095121828</v>
      </c>
      <c r="W120" s="2" t="n">
        <v>1.84393248181671</v>
      </c>
      <c r="X120" s="2" t="n">
        <v>0.0513826811841931</v>
      </c>
      <c r="Y120" s="2" t="n">
        <v>0.206104771748751</v>
      </c>
      <c r="Z120" s="2" t="n">
        <v>0.223144053077494</v>
      </c>
      <c r="AA120" s="2" t="n">
        <v>0.827883133008482</v>
      </c>
      <c r="AB120" s="2" t="n">
        <v>0.806447158471349</v>
      </c>
      <c r="AC120" s="2" t="n">
        <v>0.0244764054441848</v>
      </c>
      <c r="AD120" s="2" t="n">
        <v>0.000469174544989628</v>
      </c>
      <c r="AE120" s="2" t="n">
        <v>0.0171545483111679</v>
      </c>
      <c r="AF120" s="2" t="n">
        <v>0.00453252996569308</v>
      </c>
      <c r="AG120" s="2" t="n">
        <v>0.445703670381399</v>
      </c>
      <c r="AH120" s="2" t="n">
        <v>0.120133047183849</v>
      </c>
      <c r="AI120" s="2" t="n">
        <v>0.434163282434753</v>
      </c>
      <c r="AJ120" s="2" t="n">
        <v>78.7689551677077</v>
      </c>
      <c r="AK120" s="2" t="n">
        <v>0.156058998388275</v>
      </c>
      <c r="AL120" s="2" t="n">
        <v>0.050047754744851</v>
      </c>
      <c r="AM120" s="2" t="n">
        <v>0.0244766802395443</v>
      </c>
      <c r="AN120" s="2" t="n">
        <v>0.0255710745053067</v>
      </c>
      <c r="AO120" s="2" t="n">
        <v>0.065243961941484</v>
      </c>
      <c r="AP120" s="2" t="n">
        <v>2.59777843318543</v>
      </c>
      <c r="AQ120" s="2" t="n">
        <v>2.20130488834939</v>
      </c>
      <c r="AR120" s="2" t="n">
        <v>3.37041357122025</v>
      </c>
      <c r="AS120" s="2" t="n">
        <v>1113.28186035156</v>
      </c>
      <c r="AT120" s="2" t="n">
        <v>1105.90493469238</v>
      </c>
      <c r="AU120" s="2" t="n">
        <v>1116.86335449219</v>
      </c>
      <c r="AV120" s="2" t="n">
        <v>8.92905107376259</v>
      </c>
      <c r="AW120" s="2" t="n">
        <v>7.59274183764005</v>
      </c>
      <c r="AX120" s="2" t="n">
        <v>11.505838539529</v>
      </c>
      <c r="AY120" s="2" t="n">
        <v>3.72084598026906</v>
      </c>
      <c r="AZ120" s="2" t="n">
        <v>0.166535857431119</v>
      </c>
      <c r="BA120" s="2" t="n">
        <v>3.24005281486418</v>
      </c>
      <c r="BB120" s="2" t="n">
        <v>4.21495673845906</v>
      </c>
      <c r="BC120" s="2" t="n">
        <v>1462.56442364663</v>
      </c>
      <c r="BD120" s="2" t="n">
        <v>3.29752523250121</v>
      </c>
      <c r="BE120" s="2" t="n">
        <v>30</v>
      </c>
      <c r="BF120" s="2" t="n">
        <v>30</v>
      </c>
      <c r="BG120" s="2" t="n">
        <v>12.6626281293188</v>
      </c>
      <c r="BH120" s="2" t="n">
        <v>0.584683075130217</v>
      </c>
      <c r="BI120" s="2" t="n">
        <v>11.0736140418148</v>
      </c>
      <c r="BJ120" s="2" t="n">
        <v>14.2810608294436</v>
      </c>
      <c r="BK120" s="2" t="n">
        <v>1.74238411776894</v>
      </c>
      <c r="BL120" s="2" t="n">
        <v>1.14346228827885</v>
      </c>
      <c r="BM120" s="2" t="n">
        <v>2.34803811051393</v>
      </c>
      <c r="BN120" s="2" t="n">
        <v>30000</v>
      </c>
      <c r="BO120" s="2" t="n">
        <v>1160.06005859375</v>
      </c>
      <c r="BP120" s="2" t="n">
        <v>1150.8806427002</v>
      </c>
      <c r="BQ120" s="2" t="n">
        <v>1163.47768859863</v>
      </c>
      <c r="BR120" s="2" t="n">
        <v>30000</v>
      </c>
      <c r="BS120" s="2" t="n">
        <v>6.03406047652406</v>
      </c>
      <c r="BT120" s="2" t="n">
        <v>3.98068162741671</v>
      </c>
      <c r="BU120" s="2" t="n">
        <v>8.08841471881264</v>
      </c>
      <c r="BV120" s="2" t="n">
        <v>48.8</v>
      </c>
      <c r="BW120" s="2" t="n">
        <v>3.44</v>
      </c>
      <c r="BX120" s="2" t="n">
        <v>13.74</v>
      </c>
      <c r="BY120" s="2" t="n">
        <v>11.98</v>
      </c>
      <c r="BZ120" s="2" t="n">
        <v>0.22</v>
      </c>
      <c r="CA120" s="2" t="n">
        <v>6.49</v>
      </c>
      <c r="CB120" s="2" t="n">
        <v>11.59</v>
      </c>
      <c r="CC120" s="2" t="n">
        <v>2.96</v>
      </c>
      <c r="CD120" s="2" t="n">
        <v>0.49</v>
      </c>
      <c r="CE120" s="2" t="n">
        <v>0.28</v>
      </c>
      <c r="CF120" s="2" t="n">
        <v>0.15</v>
      </c>
    </row>
    <row r="121" customFormat="false" ht="15" hidden="false" customHeight="false" outlineLevel="0" collapsed="false">
      <c r="A121" s="2" t="s">
        <v>336</v>
      </c>
      <c r="B121" s="2" t="n">
        <v>2009</v>
      </c>
      <c r="C121" s="2" t="s">
        <v>281</v>
      </c>
      <c r="D121" s="2" t="s">
        <v>282</v>
      </c>
      <c r="E121" s="2" t="n">
        <v>37</v>
      </c>
      <c r="F121" s="2" t="s">
        <v>337</v>
      </c>
      <c r="G121" s="2" t="s">
        <v>93</v>
      </c>
      <c r="H121" s="2" t="s">
        <v>108</v>
      </c>
      <c r="I121" s="2" t="n">
        <v>2</v>
      </c>
      <c r="J121" s="2" t="s">
        <v>88</v>
      </c>
      <c r="K121" s="2" t="n">
        <v>47.6817375333214</v>
      </c>
      <c r="L121" s="2" t="n">
        <v>2.72</v>
      </c>
      <c r="M121" s="2" t="n">
        <v>5.49</v>
      </c>
      <c r="N121" s="2" t="n">
        <v>8.67</v>
      </c>
      <c r="O121" s="2" t="n">
        <v>0.1902</v>
      </c>
      <c r="P121" s="2" t="n">
        <v>13.7703435325492</v>
      </c>
      <c r="Q121" s="2" t="n">
        <v>19.4269374276491</v>
      </c>
      <c r="R121" s="2" t="n">
        <v>0.3921</v>
      </c>
      <c r="S121" s="2" t="n">
        <v>0.0458</v>
      </c>
      <c r="T121" s="2" t="n">
        <v>0.1717</v>
      </c>
      <c r="U121" s="2" t="n">
        <v>98.5588184935197</v>
      </c>
      <c r="V121" s="2" t="n">
        <v>2.57035753060007</v>
      </c>
      <c r="W121" s="2" t="n">
        <v>1.85246899933055</v>
      </c>
      <c r="X121" s="2" t="n">
        <v>0.0794997515284067</v>
      </c>
      <c r="Y121" s="2" t="n">
        <v>0.251377248000098</v>
      </c>
      <c r="Z121" s="2" t="n">
        <v>0.281699649619739</v>
      </c>
      <c r="AA121" s="2" t="n">
        <v>0.79754342351924</v>
      </c>
      <c r="AB121" s="2" t="n">
        <v>0.808681081314847</v>
      </c>
      <c r="AC121" s="2" t="n">
        <v>0.0295352048004826</v>
      </c>
      <c r="AD121" s="2" t="n">
        <v>0.00226999727963641</v>
      </c>
      <c r="AE121" s="2" t="n">
        <v>0.00527379189077218</v>
      </c>
      <c r="AF121" s="2" t="n">
        <v>0.00625868600870442</v>
      </c>
      <c r="AG121" s="2" t="n">
        <v>0.42244463138932</v>
      </c>
      <c r="AH121" s="2" t="n">
        <v>0.14921131707287</v>
      </c>
      <c r="AI121" s="2" t="n">
        <v>0.428344051537811</v>
      </c>
      <c r="AJ121" s="2" t="n">
        <v>73.8984055926886</v>
      </c>
      <c r="AK121" s="2"/>
      <c r="AL121" s="2"/>
      <c r="AM121" s="2"/>
      <c r="AN121" s="2"/>
      <c r="AO121" s="2"/>
      <c r="AP121" s="2" t="n">
        <v>3.08791155455651</v>
      </c>
      <c r="AQ121" s="2" t="n">
        <v>2.89915969608369</v>
      </c>
      <c r="AR121" s="2" t="n">
        <v>3.35882104275766</v>
      </c>
      <c r="AS121" s="2" t="n">
        <v>1097.29248046875</v>
      </c>
      <c r="AT121" s="2" t="n">
        <v>1094.10506286621</v>
      </c>
      <c r="AU121" s="2" t="n">
        <v>1105.17303771973</v>
      </c>
      <c r="AV121" s="2" t="n">
        <v>10.5678717422717</v>
      </c>
      <c r="AW121" s="2" t="n">
        <v>9.93848022907574</v>
      </c>
      <c r="AX121" s="2" t="n">
        <v>11.4674440366743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</row>
    <row r="122" customFormat="false" ht="15" hidden="false" customHeight="false" outlineLevel="0" collapsed="false">
      <c r="A122" s="2" t="s">
        <v>338</v>
      </c>
      <c r="B122" s="2" t="n">
        <v>2009</v>
      </c>
      <c r="C122" s="2" t="s">
        <v>281</v>
      </c>
      <c r="D122" s="2" t="s">
        <v>282</v>
      </c>
      <c r="E122" s="2" t="n">
        <v>38</v>
      </c>
      <c r="F122" s="2" t="s">
        <v>339</v>
      </c>
      <c r="G122" s="2" t="s">
        <v>97</v>
      </c>
      <c r="H122" s="2" t="s">
        <v>108</v>
      </c>
      <c r="I122" s="2" t="n">
        <v>2</v>
      </c>
      <c r="J122" s="2" t="s">
        <v>88</v>
      </c>
      <c r="K122" s="2" t="n">
        <v>49.4265582127742</v>
      </c>
      <c r="L122" s="2" t="n">
        <v>2.16</v>
      </c>
      <c r="M122" s="2" t="n">
        <v>3.67</v>
      </c>
      <c r="N122" s="2" t="n">
        <v>8.65</v>
      </c>
      <c r="O122" s="2" t="n">
        <v>0.1768</v>
      </c>
      <c r="P122" s="2" t="n">
        <v>14.3909787340162</v>
      </c>
      <c r="Q122" s="2" t="n">
        <v>19.5843202118731</v>
      </c>
      <c r="R122" s="2" t="n">
        <v>0.368</v>
      </c>
      <c r="S122" s="2" t="n">
        <v>0.0423</v>
      </c>
      <c r="T122" s="2" t="n">
        <v>0.0521</v>
      </c>
      <c r="U122" s="2" t="n">
        <v>98.5210571586634</v>
      </c>
      <c r="V122" s="2" t="n">
        <v>2.58983857183798</v>
      </c>
      <c r="W122" s="2" t="n">
        <v>1.90581213472564</v>
      </c>
      <c r="X122" s="2" t="n">
        <v>0.0626572688350436</v>
      </c>
      <c r="Y122" s="2" t="n">
        <v>0.166778678883627</v>
      </c>
      <c r="Z122" s="2" t="n">
        <v>0.278935736769098</v>
      </c>
      <c r="AA122" s="2" t="n">
        <v>0.827219449364459</v>
      </c>
      <c r="AB122" s="2" t="n">
        <v>0.809100156721868</v>
      </c>
      <c r="AC122" s="2" t="n">
        <v>0.0275113438615096</v>
      </c>
      <c r="AD122" s="2" t="n">
        <v>0.00208075558117304</v>
      </c>
      <c r="AE122" s="2" t="n">
        <v>0.00158822218566616</v>
      </c>
      <c r="AF122" s="2" t="n">
        <v>0.00577398636801158</v>
      </c>
      <c r="AG122" s="2" t="n">
        <v>0.431910790616133</v>
      </c>
      <c r="AH122" s="2" t="n">
        <v>0.145638928934268</v>
      </c>
      <c r="AI122" s="2" t="n">
        <v>0.4224502804496</v>
      </c>
      <c r="AJ122" s="2" t="n">
        <v>74.7833088642755</v>
      </c>
      <c r="AK122" s="2"/>
      <c r="AL122" s="2"/>
      <c r="AM122" s="2"/>
      <c r="AN122" s="2"/>
      <c r="AO122" s="2"/>
      <c r="AP122" s="2" t="n">
        <v>2.4583698443163</v>
      </c>
      <c r="AQ122" s="2" t="n">
        <v>1.87561221039182</v>
      </c>
      <c r="AR122" s="2" t="n">
        <v>3.12498137271291</v>
      </c>
      <c r="AS122" s="2" t="n">
        <v>1106.88891601563</v>
      </c>
      <c r="AT122" s="2" t="n">
        <v>1103.78745117188</v>
      </c>
      <c r="AU122" s="2" t="n">
        <v>1109.62611999512</v>
      </c>
      <c r="AV122" s="2" t="n">
        <v>8.46026199220094</v>
      </c>
      <c r="AW122" s="2" t="n">
        <v>6.48787195925434</v>
      </c>
      <c r="AX122" s="2" t="n">
        <v>10.6912270983533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</row>
    <row r="123" customFormat="false" ht="15" hidden="false" customHeight="false" outlineLevel="0" collapsed="false">
      <c r="A123" s="2" t="s">
        <v>340</v>
      </c>
      <c r="B123" s="2" t="n">
        <v>2009</v>
      </c>
      <c r="C123" s="2" t="s">
        <v>281</v>
      </c>
      <c r="D123" s="2" t="s">
        <v>282</v>
      </c>
      <c r="E123" s="2" t="n">
        <v>39</v>
      </c>
      <c r="F123" s="2" t="s">
        <v>341</v>
      </c>
      <c r="G123" s="2" t="s">
        <v>88</v>
      </c>
      <c r="H123" s="2" t="s">
        <v>108</v>
      </c>
      <c r="I123" s="2" t="n">
        <v>2</v>
      </c>
      <c r="J123" s="2" t="s">
        <v>88</v>
      </c>
      <c r="K123" s="2" t="n">
        <v>51.4521546337481</v>
      </c>
      <c r="L123" s="2" t="n">
        <v>0.9347</v>
      </c>
      <c r="M123" s="2" t="n">
        <v>4.37</v>
      </c>
      <c r="N123" s="2" t="n">
        <v>7.19</v>
      </c>
      <c r="O123" s="2" t="n">
        <v>0.1713</v>
      </c>
      <c r="P123" s="2" t="n">
        <v>17.0868628903885</v>
      </c>
      <c r="Q123" s="2" t="n">
        <v>17.4596526248492</v>
      </c>
      <c r="R123" s="2" t="n">
        <v>0.2241</v>
      </c>
      <c r="S123" s="2" t="n">
        <v>0.0218</v>
      </c>
      <c r="T123" s="2" t="n">
        <v>0.4186</v>
      </c>
      <c r="U123" s="2" t="n">
        <v>99.3291701489858</v>
      </c>
      <c r="V123" s="2" t="n">
        <v>2.6911554883327</v>
      </c>
      <c r="W123" s="2" t="n">
        <v>1.90922533258489</v>
      </c>
      <c r="X123" s="2" t="n">
        <v>0.026092990482539</v>
      </c>
      <c r="Y123" s="2" t="n">
        <v>0.19111281338912</v>
      </c>
      <c r="Z123" s="2" t="n">
        <v>0.223126342040271</v>
      </c>
      <c r="AA123" s="2" t="n">
        <v>0.945206378765267</v>
      </c>
      <c r="AB123" s="2" t="n">
        <v>0.69416591719527</v>
      </c>
      <c r="AC123" s="2" t="n">
        <v>0.0161227732746618</v>
      </c>
      <c r="AD123" s="2" t="n">
        <v>0.00103197956655743</v>
      </c>
      <c r="AE123" s="2" t="n">
        <v>0.012280234578751</v>
      </c>
      <c r="AF123" s="2" t="n">
        <v>0.00538374845699341</v>
      </c>
      <c r="AG123" s="2" t="n">
        <v>0.507493728843659</v>
      </c>
      <c r="AH123" s="2" t="n">
        <v>0.119799465882978</v>
      </c>
      <c r="AI123" s="2" t="n">
        <v>0.372706805273363</v>
      </c>
      <c r="AJ123" s="2" t="n">
        <v>80.9021575731928</v>
      </c>
      <c r="AK123" s="2"/>
      <c r="AL123" s="2"/>
      <c r="AM123" s="2"/>
      <c r="AN123" s="2"/>
      <c r="AO123" s="2"/>
      <c r="AP123" s="2" t="n">
        <v>4.09137317950182</v>
      </c>
      <c r="AQ123" s="2" t="n">
        <v>3.55747585112505</v>
      </c>
      <c r="AR123" s="2" t="n">
        <v>4.86076212937289</v>
      </c>
      <c r="AS123" s="2" t="n">
        <v>1166.34423828125</v>
      </c>
      <c r="AT123" s="2" t="n">
        <v>1159.91455078125</v>
      </c>
      <c r="AU123" s="2" t="n">
        <v>1172.77248535156</v>
      </c>
      <c r="AV123" s="2" t="n">
        <v>13.8776571266439</v>
      </c>
      <c r="AW123" s="2" t="n">
        <v>12.124263621701</v>
      </c>
      <c r="AX123" s="2" t="n">
        <v>16.3740552137683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</row>
    <row r="124" customFormat="false" ht="15" hidden="false" customHeight="false" outlineLevel="0" collapsed="false">
      <c r="A124" s="2" t="s">
        <v>342</v>
      </c>
      <c r="B124" s="2" t="n">
        <v>2009</v>
      </c>
      <c r="C124" s="2" t="s">
        <v>281</v>
      </c>
      <c r="D124" s="2" t="s">
        <v>282</v>
      </c>
      <c r="E124" s="2" t="n">
        <v>40</v>
      </c>
      <c r="F124" s="2" t="s">
        <v>343</v>
      </c>
      <c r="G124" s="2" t="s">
        <v>88</v>
      </c>
      <c r="H124" s="2" t="s">
        <v>108</v>
      </c>
      <c r="I124" s="2" t="n">
        <v>2</v>
      </c>
      <c r="J124" s="2" t="s">
        <v>88</v>
      </c>
      <c r="K124" s="2" t="n">
        <v>48.7647296791886</v>
      </c>
      <c r="L124" s="2" t="n">
        <v>1.87</v>
      </c>
      <c r="M124" s="2" t="n">
        <v>5.16</v>
      </c>
      <c r="N124" s="2" t="n">
        <v>6.95</v>
      </c>
      <c r="O124" s="2" t="n">
        <v>0.1626</v>
      </c>
      <c r="P124" s="2" t="n">
        <v>14.8661525601393</v>
      </c>
      <c r="Q124" s="2" t="n">
        <v>19.6335023319431</v>
      </c>
      <c r="R124" s="2" t="n">
        <v>0.342</v>
      </c>
      <c r="S124" s="2" t="n">
        <v>0.0088</v>
      </c>
      <c r="T124" s="2" t="n">
        <v>0.8176</v>
      </c>
      <c r="U124" s="2" t="n">
        <v>98.5753845712711</v>
      </c>
      <c r="V124" s="2" t="n">
        <v>2.66161572565569</v>
      </c>
      <c r="W124" s="2" t="n">
        <v>1.829586218382</v>
      </c>
      <c r="X124" s="2" t="n">
        <v>0.0527820989891131</v>
      </c>
      <c r="Y124" s="2" t="n">
        <v>0.228166304092833</v>
      </c>
      <c r="Z124" s="2" t="n">
        <v>0.21807214578438</v>
      </c>
      <c r="AA124" s="2" t="n">
        <v>0.831488662174812</v>
      </c>
      <c r="AB124" s="2" t="n">
        <v>0.789257837389126</v>
      </c>
      <c r="AC124" s="2" t="n">
        <v>0.0248781128473322</v>
      </c>
      <c r="AD124" s="2" t="n">
        <v>0.000421202280520169</v>
      </c>
      <c r="AE124" s="2" t="n">
        <v>0.0242516760722529</v>
      </c>
      <c r="AF124" s="2" t="n">
        <v>0.00516703467150628</v>
      </c>
      <c r="AG124" s="2" t="n">
        <v>0.452186334023879</v>
      </c>
      <c r="AH124" s="2" t="n">
        <v>0.118593612445708</v>
      </c>
      <c r="AI124" s="2" t="n">
        <v>0.429220053530413</v>
      </c>
      <c r="AJ124" s="2" t="n">
        <v>79.2225334510719</v>
      </c>
      <c r="AK124" s="2" t="n">
        <v>0.170405281127102</v>
      </c>
      <c r="AL124" s="2" t="n">
        <v>0.0577632222973596</v>
      </c>
      <c r="AM124" s="2" t="n">
        <v>0.024878392791491</v>
      </c>
      <c r="AN124" s="2" t="n">
        <v>0.0328848295058686</v>
      </c>
      <c r="AO124" s="2" t="n">
        <v>0.0687602258106166</v>
      </c>
      <c r="AP124" s="2" t="n">
        <v>4.04327518598064</v>
      </c>
      <c r="AQ124" s="2" t="n">
        <v>3.42248641506657</v>
      </c>
      <c r="AR124" s="2" t="n">
        <v>4.82055086747631</v>
      </c>
      <c r="AS124" s="2" t="n">
        <v>1137.62487792969</v>
      </c>
      <c r="AT124" s="2" t="n">
        <v>1132.96997680664</v>
      </c>
      <c r="AU124" s="2" t="n">
        <v>1141.08344726563</v>
      </c>
      <c r="AV124" s="2" t="n">
        <v>13.7204045772335</v>
      </c>
      <c r="AW124" s="2" t="n">
        <v>11.6782035649147</v>
      </c>
      <c r="AX124" s="2" t="n">
        <v>16.2444721617824</v>
      </c>
      <c r="AY124" s="2" t="n">
        <v>4.15747205946663</v>
      </c>
      <c r="AZ124" s="2" t="n">
        <v>0.168107989869383</v>
      </c>
      <c r="BA124" s="2" t="n">
        <v>3.60819965068254</v>
      </c>
      <c r="BB124" s="2" t="n">
        <v>4.6923636045954</v>
      </c>
      <c r="BC124" s="2" t="n">
        <v>1472.13252779828</v>
      </c>
      <c r="BD124" s="2" t="n">
        <v>3.2897696512567</v>
      </c>
      <c r="BE124" s="2" t="n">
        <v>69</v>
      </c>
      <c r="BF124" s="2" t="n">
        <v>69</v>
      </c>
      <c r="BG124" s="2" t="n">
        <v>14.0935334239438</v>
      </c>
      <c r="BH124" s="2" t="n">
        <v>0.590194594605149</v>
      </c>
      <c r="BI124" s="2" t="n">
        <v>12.2915902788434</v>
      </c>
      <c r="BJ124" s="2" t="n">
        <v>15.8307274286057</v>
      </c>
      <c r="BK124" s="2" t="n">
        <v>2.36987013214323</v>
      </c>
      <c r="BL124" s="2" t="n">
        <v>1.87546951733198</v>
      </c>
      <c r="BM124" s="2" t="n">
        <v>3.00102964260029</v>
      </c>
      <c r="BN124" s="2" t="n">
        <v>69000</v>
      </c>
      <c r="BO124" s="2" t="n">
        <v>1160.53570556641</v>
      </c>
      <c r="BP124" s="2" t="n">
        <v>1152.91132202148</v>
      </c>
      <c r="BQ124" s="2" t="n">
        <v>1166.17178039551</v>
      </c>
      <c r="BR124" s="2" t="n">
        <v>69000</v>
      </c>
      <c r="BS124" s="2" t="n">
        <v>8.16205297897268</v>
      </c>
      <c r="BT124" s="2" t="n">
        <v>6.48738648290112</v>
      </c>
      <c r="BU124" s="2" t="n">
        <v>10.2784328992707</v>
      </c>
      <c r="BV124" s="2" t="n">
        <v>48.77</v>
      </c>
      <c r="BW124" s="2" t="n">
        <v>3.43</v>
      </c>
      <c r="BX124" s="2" t="n">
        <v>13.84</v>
      </c>
      <c r="BY124" s="2" t="n">
        <v>11.98</v>
      </c>
      <c r="BZ124" s="2" t="n">
        <v>0.17</v>
      </c>
      <c r="CA124" s="2" t="n">
        <v>6.53</v>
      </c>
      <c r="CB124" s="2" t="n">
        <v>11.6</v>
      </c>
      <c r="CC124" s="2" t="n">
        <v>2.96</v>
      </c>
      <c r="CD124" s="2" t="n">
        <v>0.45</v>
      </c>
      <c r="CE124" s="2" t="n">
        <v>0.27</v>
      </c>
      <c r="CF124" s="2" t="n">
        <v>0.15</v>
      </c>
    </row>
    <row r="125" customFormat="false" ht="15" hidden="false" customHeight="false" outlineLevel="0" collapsed="false">
      <c r="A125" s="2" t="s">
        <v>344</v>
      </c>
      <c r="B125" s="2" t="n">
        <v>2009</v>
      </c>
      <c r="C125" s="2" t="s">
        <v>281</v>
      </c>
      <c r="D125" s="2" t="s">
        <v>282</v>
      </c>
      <c r="E125" s="2" t="n">
        <v>41</v>
      </c>
      <c r="F125" s="2" t="s">
        <v>345</v>
      </c>
      <c r="G125" s="2" t="s">
        <v>93</v>
      </c>
      <c r="H125" s="2" t="s">
        <v>108</v>
      </c>
      <c r="I125" s="2" t="n">
        <v>2</v>
      </c>
      <c r="J125" s="2" t="s">
        <v>88</v>
      </c>
      <c r="K125" s="2" t="n">
        <v>47.5814604827781</v>
      </c>
      <c r="L125" s="2" t="n">
        <v>2.3</v>
      </c>
      <c r="M125" s="2" t="n">
        <v>6.09</v>
      </c>
      <c r="N125" s="2" t="n">
        <v>7.69</v>
      </c>
      <c r="O125" s="2" t="n">
        <v>0.1492</v>
      </c>
      <c r="P125" s="2" t="n">
        <v>14.5267426843371</v>
      </c>
      <c r="Q125" s="2" t="n">
        <v>19.1711904032852</v>
      </c>
      <c r="R125" s="2" t="n">
        <v>0.3376</v>
      </c>
      <c r="S125" s="2" t="n">
        <v>0.0024</v>
      </c>
      <c r="T125" s="2" t="n">
        <v>0.6103</v>
      </c>
      <c r="U125" s="2" t="n">
        <v>98.4588935704004</v>
      </c>
      <c r="V125" s="2" t="n">
        <v>2.64957539221734</v>
      </c>
      <c r="W125" s="2" t="n">
        <v>1.79330392737457</v>
      </c>
      <c r="X125" s="2" t="n">
        <v>0.0652141680849208</v>
      </c>
      <c r="Y125" s="2" t="n">
        <v>0.270513018712691</v>
      </c>
      <c r="Z125" s="2" t="n">
        <v>0.242387826491263</v>
      </c>
      <c r="AA125" s="2" t="n">
        <v>0.81619712831057</v>
      </c>
      <c r="AB125" s="2" t="n">
        <v>0.774175240162117</v>
      </c>
      <c r="AC125" s="2" t="n">
        <v>0.0246696414529665</v>
      </c>
      <c r="AD125" s="2" t="n">
        <v>0.000115395362470066</v>
      </c>
      <c r="AE125" s="2" t="n">
        <v>0.0181850005324934</v>
      </c>
      <c r="AF125" s="2" t="n">
        <v>0.00476276035351347</v>
      </c>
      <c r="AG125" s="2" t="n">
        <v>0.445337655495418</v>
      </c>
      <c r="AH125" s="2" t="n">
        <v>0.132252886742791</v>
      </c>
      <c r="AI125" s="2" t="n">
        <v>0.422409457761792</v>
      </c>
      <c r="AJ125" s="2" t="n">
        <v>77.1026571469989</v>
      </c>
      <c r="AK125" s="2" t="n">
        <v>0.206686419182604</v>
      </c>
      <c r="AL125" s="2" t="n">
        <v>0.063829406396329</v>
      </c>
      <c r="AM125" s="2" t="n">
        <v>0.0246699372309815</v>
      </c>
      <c r="AN125" s="2" t="n">
        <v>0.0391594691653475</v>
      </c>
      <c r="AO125" s="2" t="n">
        <v>0.0837634750086281</v>
      </c>
      <c r="AP125" s="2" t="n">
        <v>3.5450821285258</v>
      </c>
      <c r="AQ125" s="2" t="n">
        <v>3.18512506532771</v>
      </c>
      <c r="AR125" s="2" t="n">
        <v>4.08501466560466</v>
      </c>
      <c r="AS125" s="2" t="n">
        <v>1133.896484375</v>
      </c>
      <c r="AT125" s="2" t="n">
        <v>1128.26950073242</v>
      </c>
      <c r="AU125" s="2" t="n">
        <v>1137.66015625</v>
      </c>
      <c r="AV125" s="2" t="n">
        <v>12.0833557545547</v>
      </c>
      <c r="AW125" s="2" t="n">
        <v>10.8911870602278</v>
      </c>
      <c r="AX125" s="2" t="n">
        <v>13.8568765148078</v>
      </c>
      <c r="AY125" s="2" t="n">
        <v>3.97882404517413</v>
      </c>
      <c r="AZ125" s="2" t="n">
        <v>0.166838975470358</v>
      </c>
      <c r="BA125" s="2" t="n">
        <v>3.53887928432716</v>
      </c>
      <c r="BB125" s="2" t="n">
        <v>4.44045151365237</v>
      </c>
      <c r="BC125" s="2" t="n">
        <v>1468.48418737108</v>
      </c>
      <c r="BD125" s="2" t="n">
        <v>1.57172537083592</v>
      </c>
      <c r="BE125" s="2" t="n">
        <v>3</v>
      </c>
      <c r="BF125" s="2" t="n">
        <v>3</v>
      </c>
      <c r="BG125" s="2" t="n">
        <v>13.5094669247193</v>
      </c>
      <c r="BH125" s="2" t="n">
        <v>0.585745745971029</v>
      </c>
      <c r="BI125" s="2" t="n">
        <v>12.062878578118</v>
      </c>
      <c r="BJ125" s="2" t="n">
        <v>15.0147399046039</v>
      </c>
      <c r="BK125" s="2" t="n">
        <v>2.31049042020687</v>
      </c>
      <c r="BL125" s="2" t="n">
        <v>1.87703474331232</v>
      </c>
      <c r="BM125" s="2" t="n">
        <v>2.88970781933933</v>
      </c>
      <c r="BN125" s="2" t="n">
        <v>3000</v>
      </c>
      <c r="BO125" s="2" t="n">
        <v>1156.91424560547</v>
      </c>
      <c r="BP125" s="2" t="n">
        <v>1148.18244323731</v>
      </c>
      <c r="BQ125" s="2" t="n">
        <v>1161.25784912109</v>
      </c>
      <c r="BR125" s="2" t="n">
        <v>3000</v>
      </c>
      <c r="BS125" s="2" t="n">
        <v>7.96170077915475</v>
      </c>
      <c r="BT125" s="2" t="n">
        <v>6.49271169335547</v>
      </c>
      <c r="BU125" s="2" t="n">
        <v>9.90690626019628</v>
      </c>
      <c r="BV125" s="2" t="n">
        <v>48.29</v>
      </c>
      <c r="BW125" s="2" t="n">
        <v>3.69</v>
      </c>
      <c r="BX125" s="2" t="n">
        <v>13.65</v>
      </c>
      <c r="BY125" s="2" t="n">
        <v>12.67</v>
      </c>
      <c r="BZ125" s="2" t="n">
        <v>0.18</v>
      </c>
      <c r="CA125" s="2" t="n">
        <v>6.25</v>
      </c>
      <c r="CB125" s="2" t="n">
        <v>11.35</v>
      </c>
      <c r="CC125" s="2" t="n">
        <v>3.11</v>
      </c>
      <c r="CD125" s="2" t="n">
        <v>0.49</v>
      </c>
      <c r="CE125" s="2" t="n">
        <v>0.33</v>
      </c>
      <c r="CF125" s="2" t="n">
        <v>0.15</v>
      </c>
    </row>
    <row r="126" customFormat="false" ht="15" hidden="false" customHeight="false" outlineLevel="0" collapsed="false">
      <c r="A126" s="2" t="s">
        <v>346</v>
      </c>
      <c r="B126" s="2" t="n">
        <v>2009</v>
      </c>
      <c r="C126" s="2" t="s">
        <v>281</v>
      </c>
      <c r="D126" s="2" t="s">
        <v>282</v>
      </c>
      <c r="E126" s="2" t="n">
        <v>42</v>
      </c>
      <c r="F126" s="2" t="s">
        <v>347</v>
      </c>
      <c r="G126" s="2" t="s">
        <v>97</v>
      </c>
      <c r="H126" s="2" t="s">
        <v>108</v>
      </c>
      <c r="I126" s="2" t="n">
        <v>2</v>
      </c>
      <c r="J126" s="2" t="s">
        <v>88</v>
      </c>
      <c r="K126" s="2" t="n">
        <v>49.1959209965247</v>
      </c>
      <c r="L126" s="2" t="n">
        <v>1.89</v>
      </c>
      <c r="M126" s="2" t="n">
        <v>4.53</v>
      </c>
      <c r="N126" s="2" t="n">
        <v>7.57</v>
      </c>
      <c r="O126" s="2" t="n">
        <v>0.1749</v>
      </c>
      <c r="P126" s="2" t="n">
        <v>15.0116139354832</v>
      </c>
      <c r="Q126" s="2" t="n">
        <v>19.5646473638451</v>
      </c>
      <c r="R126" s="2" t="n">
        <v>0.3433</v>
      </c>
      <c r="S126" s="2" t="n">
        <v>0</v>
      </c>
      <c r="T126" s="2" t="n">
        <v>0.2698</v>
      </c>
      <c r="U126" s="2" t="n">
        <v>98.550182295853</v>
      </c>
      <c r="V126" s="2" t="n">
        <v>2.65823295542234</v>
      </c>
      <c r="W126" s="2" t="n">
        <v>1.8481127809404</v>
      </c>
      <c r="X126" s="2" t="n">
        <v>0.0534145003698826</v>
      </c>
      <c r="Y126" s="2" t="n">
        <v>0.200563695876181</v>
      </c>
      <c r="Z126" s="2" t="n">
        <v>0.23782833082468</v>
      </c>
      <c r="AA126" s="2" t="n">
        <v>0.840693034632478</v>
      </c>
      <c r="AB126" s="2" t="n">
        <v>0.787490757420275</v>
      </c>
      <c r="AC126" s="2" t="n">
        <v>0.0250044580928622</v>
      </c>
      <c r="AD126" s="2" t="n">
        <v>0</v>
      </c>
      <c r="AE126" s="2" t="n">
        <v>0.00801299989889339</v>
      </c>
      <c r="AF126" s="2" t="n">
        <v>0.00556497169717395</v>
      </c>
      <c r="AG126" s="2" t="n">
        <v>0.450529245938719</v>
      </c>
      <c r="AH126" s="2" t="n">
        <v>0.127452725472085</v>
      </c>
      <c r="AI126" s="2" t="n">
        <v>0.422018028589196</v>
      </c>
      <c r="AJ126" s="2" t="n">
        <v>77.9486676442547</v>
      </c>
      <c r="AK126" s="2" t="n">
        <v>0.151878343210628</v>
      </c>
      <c r="AL126" s="2" t="n">
        <v>0.0486873173251924</v>
      </c>
      <c r="AM126" s="2" t="n">
        <v>0.0250047433726596</v>
      </c>
      <c r="AN126" s="2" t="n">
        <v>0.0236825739525328</v>
      </c>
      <c r="AO126" s="2" t="n">
        <v>0.0640978846290475</v>
      </c>
      <c r="AP126" s="2" t="n">
        <v>3.30999050065127</v>
      </c>
      <c r="AQ126" s="2" t="n">
        <v>2.73889487906543</v>
      </c>
      <c r="AR126" s="2" t="n">
        <v>3.96170680447665</v>
      </c>
      <c r="AS126" s="2" t="n">
        <v>1099.50805664063</v>
      </c>
      <c r="AT126" s="2" t="n">
        <v>1094.03788146973</v>
      </c>
      <c r="AU126" s="2" t="n">
        <v>1104.3725402832</v>
      </c>
      <c r="AV126" s="2" t="n">
        <v>11.3056276766734</v>
      </c>
      <c r="AW126" s="2" t="n">
        <v>9.40238368700143</v>
      </c>
      <c r="AX126" s="2" t="n">
        <v>13.453402793479</v>
      </c>
      <c r="AY126" s="2" t="n">
        <v>3.72584353680198</v>
      </c>
      <c r="AZ126" s="2" t="n">
        <v>0.166647420165919</v>
      </c>
      <c r="BA126" s="2" t="n">
        <v>3.26227775698256</v>
      </c>
      <c r="BB126" s="2" t="n">
        <v>4.17347568747534</v>
      </c>
      <c r="BC126" s="2" t="n">
        <v>1463.47138025504</v>
      </c>
      <c r="BD126" s="2" t="n">
        <v>3.18092565057344</v>
      </c>
      <c r="BE126" s="2" t="n">
        <v>5</v>
      </c>
      <c r="BF126" s="2" t="n">
        <v>5</v>
      </c>
      <c r="BG126" s="2" t="n">
        <v>12.679071416202</v>
      </c>
      <c r="BH126" s="2" t="n">
        <v>0.58507419227312</v>
      </c>
      <c r="BI126" s="2" t="n">
        <v>11.1473759440148</v>
      </c>
      <c r="BJ126" s="2" t="n">
        <v>14.1457608203819</v>
      </c>
      <c r="BK126" s="2" t="n">
        <v>1.52115202748347</v>
      </c>
      <c r="BL126" s="2" t="n">
        <v>0.905793812219273</v>
      </c>
      <c r="BM126" s="2" t="n">
        <v>2.1137571022649</v>
      </c>
      <c r="BN126" s="2" t="n">
        <v>5000</v>
      </c>
      <c r="BO126" s="2" t="n">
        <v>1156.29162597656</v>
      </c>
      <c r="BP126" s="2" t="n">
        <v>1151.05689086914</v>
      </c>
      <c r="BQ126" s="2" t="n">
        <v>1161.29107971191</v>
      </c>
      <c r="BR126" s="2" t="n">
        <v>5000</v>
      </c>
      <c r="BS126" s="2" t="n">
        <v>5.2781071376604</v>
      </c>
      <c r="BT126" s="2" t="n">
        <v>3.15982045274502</v>
      </c>
      <c r="BU126" s="2" t="n">
        <v>7.29637913250569</v>
      </c>
      <c r="BV126" s="2" t="n">
        <v>48.26</v>
      </c>
      <c r="BW126" s="2" t="n">
        <v>3.66</v>
      </c>
      <c r="BX126" s="2" t="n">
        <v>13.59</v>
      </c>
      <c r="BY126" s="2" t="n">
        <v>12.44</v>
      </c>
      <c r="BZ126" s="2" t="n">
        <v>0.2</v>
      </c>
      <c r="CA126" s="2" t="n">
        <v>6.41</v>
      </c>
      <c r="CB126" s="2" t="n">
        <v>11.52</v>
      </c>
      <c r="CC126" s="2" t="n">
        <v>3.18</v>
      </c>
      <c r="CD126" s="2" t="n">
        <v>0.46</v>
      </c>
      <c r="CE126" s="2" t="n">
        <v>0.3</v>
      </c>
      <c r="CF126" s="2" t="n">
        <v>0.15</v>
      </c>
    </row>
    <row r="127" customFormat="false" ht="15" hidden="false" customHeight="false" outlineLevel="0" collapsed="false">
      <c r="A127" s="2" t="s">
        <v>348</v>
      </c>
      <c r="B127" s="2" t="n">
        <v>2009</v>
      </c>
      <c r="C127" s="2" t="s">
        <v>281</v>
      </c>
      <c r="D127" s="2" t="s">
        <v>282</v>
      </c>
      <c r="E127" s="2" t="n">
        <v>43</v>
      </c>
      <c r="F127" s="2" t="s">
        <v>349</v>
      </c>
      <c r="G127" s="2" t="s">
        <v>93</v>
      </c>
      <c r="H127" s="2" t="s">
        <v>89</v>
      </c>
      <c r="I127" s="2" t="n">
        <v>1</v>
      </c>
      <c r="J127" s="2" t="s">
        <v>89</v>
      </c>
      <c r="K127" s="2" t="n">
        <v>50.8906031507058</v>
      </c>
      <c r="L127" s="2" t="n">
        <v>1.2254</v>
      </c>
      <c r="M127" s="2" t="n">
        <v>2.58</v>
      </c>
      <c r="N127" s="2" t="n">
        <v>8.32</v>
      </c>
      <c r="O127" s="2" t="n">
        <v>0.218</v>
      </c>
      <c r="P127" s="2" t="n">
        <v>17.3486933660074</v>
      </c>
      <c r="Q127" s="2" t="n">
        <v>16.7809393678833</v>
      </c>
      <c r="R127" s="2" t="n">
        <v>0.2273</v>
      </c>
      <c r="S127" s="2" t="n">
        <v>0</v>
      </c>
      <c r="T127" s="2" t="n">
        <v>0.1962</v>
      </c>
      <c r="U127" s="2" t="n">
        <v>97.7871358845964</v>
      </c>
      <c r="V127" s="2" t="n">
        <v>2.62600670034028</v>
      </c>
      <c r="W127" s="2" t="n">
        <v>1.9352370999603</v>
      </c>
      <c r="X127" s="2" t="n">
        <v>0.0350568144709537</v>
      </c>
      <c r="Y127" s="2" t="n">
        <v>0.115630135855999</v>
      </c>
      <c r="Z127" s="2" t="n">
        <v>0.264599026859964</v>
      </c>
      <c r="AA127" s="2" t="n">
        <v>0.983499268861682</v>
      </c>
      <c r="AB127" s="2" t="n">
        <v>0.683733591319219</v>
      </c>
      <c r="AC127" s="2" t="n">
        <v>0.0167586984720236</v>
      </c>
      <c r="AD127" s="2" t="n">
        <v>0</v>
      </c>
      <c r="AE127" s="2" t="n">
        <v>0.00589860619987515</v>
      </c>
      <c r="AF127" s="2" t="n">
        <v>0.00702145071871156</v>
      </c>
      <c r="AG127" s="2" t="n">
        <v>0.509101892074151</v>
      </c>
      <c r="AH127" s="2" t="n">
        <v>0.136967936306958</v>
      </c>
      <c r="AI127" s="2" t="n">
        <v>0.353930171618891</v>
      </c>
      <c r="AJ127" s="2" t="n">
        <v>78.7998246799165</v>
      </c>
      <c r="AK127" s="2"/>
      <c r="AL127" s="2"/>
      <c r="AM127" s="2"/>
      <c r="AN127" s="2"/>
      <c r="AO127" s="2"/>
      <c r="AP127" s="2" t="n">
        <v>0.00940701341865169</v>
      </c>
      <c r="AQ127" s="2" t="n">
        <v>0</v>
      </c>
      <c r="AR127" s="2" t="n">
        <v>0.206992286207653</v>
      </c>
      <c r="AS127" s="2" t="n">
        <v>1143.92407226563</v>
      </c>
      <c r="AT127" s="2" t="n">
        <v>1139.00908813477</v>
      </c>
      <c r="AU127" s="2" t="n">
        <v>1150.56855773926</v>
      </c>
      <c r="AV127" s="2" t="n">
        <v>0.0330714371740233</v>
      </c>
      <c r="AW127" s="2" t="n">
        <v>0</v>
      </c>
      <c r="AX127" s="2" t="n">
        <v>0.726465951139039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</row>
    <row r="128" customFormat="false" ht="15" hidden="false" customHeight="false" outlineLevel="0" collapsed="false">
      <c r="A128" s="2" t="s">
        <v>350</v>
      </c>
      <c r="B128" s="2" t="n">
        <v>2009</v>
      </c>
      <c r="C128" s="2" t="s">
        <v>281</v>
      </c>
      <c r="D128" s="2" t="s">
        <v>282</v>
      </c>
      <c r="E128" s="2" t="n">
        <v>44</v>
      </c>
      <c r="F128" s="2" t="s">
        <v>351</v>
      </c>
      <c r="G128" s="2" t="s">
        <v>88</v>
      </c>
      <c r="H128" s="2" t="s">
        <v>94</v>
      </c>
      <c r="I128" s="2" t="n">
        <v>1</v>
      </c>
      <c r="J128" s="2" t="s">
        <v>89</v>
      </c>
      <c r="K128" s="2" t="n">
        <v>46.378135876259</v>
      </c>
      <c r="L128" s="2" t="n">
        <v>3.02</v>
      </c>
      <c r="M128" s="2" t="n">
        <v>5.99</v>
      </c>
      <c r="N128" s="2" t="n">
        <v>7.88</v>
      </c>
      <c r="O128" s="2" t="n">
        <v>0.1298</v>
      </c>
      <c r="P128" s="2" t="n">
        <v>13.4794207818615</v>
      </c>
      <c r="Q128" s="2" t="n">
        <v>19.8794129322931</v>
      </c>
      <c r="R128" s="2" t="n">
        <v>0.3516</v>
      </c>
      <c r="S128" s="2" t="n">
        <v>0</v>
      </c>
      <c r="T128" s="2" t="n">
        <v>0.3959</v>
      </c>
      <c r="U128" s="2" t="n">
        <v>97.5042695904136</v>
      </c>
      <c r="V128" s="2" t="n">
        <v>2.53396494587683</v>
      </c>
      <c r="W128" s="2" t="n">
        <v>1.82770078707893</v>
      </c>
      <c r="X128" s="2" t="n">
        <v>0.0895358053640703</v>
      </c>
      <c r="Y128" s="2" t="n">
        <v>0.278210412077661</v>
      </c>
      <c r="Z128" s="2" t="n">
        <v>0.259708617869441</v>
      </c>
      <c r="AA128" s="2" t="n">
        <v>0.791906172845071</v>
      </c>
      <c r="AB128" s="2" t="n">
        <v>0.839400900639973</v>
      </c>
      <c r="AC128" s="2" t="n">
        <v>0.0268648824695321</v>
      </c>
      <c r="AD128" s="2" t="n">
        <v>0</v>
      </c>
      <c r="AE128" s="2" t="n">
        <v>0.0123347720737505</v>
      </c>
      <c r="AF128" s="2" t="n">
        <v>0.00433251702577945</v>
      </c>
      <c r="AG128" s="2" t="n">
        <v>0.41877292529384</v>
      </c>
      <c r="AH128" s="2" t="n">
        <v>0.137338161209767</v>
      </c>
      <c r="AI128" s="2" t="n">
        <v>0.443888913496393</v>
      </c>
      <c r="AJ128" s="2" t="n">
        <v>75.3038260622995</v>
      </c>
      <c r="AK128" s="2"/>
      <c r="AL128" s="2"/>
      <c r="AM128" s="2"/>
      <c r="AN128" s="2"/>
      <c r="AO128" s="2"/>
      <c r="AP128" s="2" t="n">
        <v>1.40867832526603</v>
      </c>
      <c r="AQ128" s="2" t="n">
        <v>1.09183211252132</v>
      </c>
      <c r="AR128" s="2" t="n">
        <v>2.33585767373481</v>
      </c>
      <c r="AS128" s="2" t="n">
        <v>1131.13061523438</v>
      </c>
      <c r="AT128" s="2" t="n">
        <v>1120.16887817383</v>
      </c>
      <c r="AU128" s="2" t="n">
        <v>1137.64999694824</v>
      </c>
      <c r="AV128" s="2" t="n">
        <v>4.89264557269338</v>
      </c>
      <c r="AW128" s="2" t="n">
        <v>3.80265197434714</v>
      </c>
      <c r="AX128" s="2" t="n">
        <v>8.04731819360426</v>
      </c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</row>
    <row r="129" customFormat="false" ht="15" hidden="false" customHeight="false" outlineLevel="0" collapsed="false">
      <c r="A129" s="2" t="s">
        <v>352</v>
      </c>
      <c r="B129" s="2" t="n">
        <v>2009</v>
      </c>
      <c r="C129" s="2" t="s">
        <v>281</v>
      </c>
      <c r="D129" s="2" t="s">
        <v>282</v>
      </c>
      <c r="E129" s="2" t="n">
        <v>45</v>
      </c>
      <c r="F129" s="2" t="s">
        <v>353</v>
      </c>
      <c r="G129" s="2" t="s">
        <v>93</v>
      </c>
      <c r="H129" s="2" t="s">
        <v>94</v>
      </c>
      <c r="I129" s="2" t="n">
        <v>1</v>
      </c>
      <c r="J129" s="2" t="s">
        <v>89</v>
      </c>
      <c r="K129" s="2" t="n">
        <v>49.3062257521223</v>
      </c>
      <c r="L129" s="2" t="n">
        <v>2.17</v>
      </c>
      <c r="M129" s="2" t="n">
        <v>3.67</v>
      </c>
      <c r="N129" s="2" t="n">
        <v>9.21</v>
      </c>
      <c r="O129" s="2" t="n">
        <v>0.1898</v>
      </c>
      <c r="P129" s="2" t="n">
        <v>14.1485431084431</v>
      </c>
      <c r="Q129" s="2" t="n">
        <v>18.8170791387812</v>
      </c>
      <c r="R129" s="2" t="n">
        <v>0.3335</v>
      </c>
      <c r="S129" s="2" t="n">
        <v>0</v>
      </c>
      <c r="T129" s="2" t="n">
        <v>0.0434</v>
      </c>
      <c r="U129" s="2" t="n">
        <v>97.8885479993465</v>
      </c>
      <c r="V129" s="2" t="n">
        <v>2.57293650113493</v>
      </c>
      <c r="W129" s="2" t="n">
        <v>1.91366143390814</v>
      </c>
      <c r="X129" s="2" t="n">
        <v>0.063360860947077</v>
      </c>
      <c r="Y129" s="2" t="n">
        <v>0.16787427724799</v>
      </c>
      <c r="Z129" s="2" t="n">
        <v>0.298945009772654</v>
      </c>
      <c r="AA129" s="2" t="n">
        <v>0.818626415602411</v>
      </c>
      <c r="AB129" s="2" t="n">
        <v>0.782509505628527</v>
      </c>
      <c r="AC129" s="2" t="n">
        <v>0.0250959390717329</v>
      </c>
      <c r="AD129" s="2" t="n">
        <v>0</v>
      </c>
      <c r="AE129" s="2" t="n">
        <v>0.00133170150680002</v>
      </c>
      <c r="AF129" s="2" t="n">
        <v>0.00623926351206977</v>
      </c>
      <c r="AG129" s="2" t="n">
        <v>0.430837656567621</v>
      </c>
      <c r="AH129" s="2" t="n">
        <v>0.157332777196367</v>
      </c>
      <c r="AI129" s="2" t="n">
        <v>0.411829566236012</v>
      </c>
      <c r="AJ129" s="2" t="n">
        <v>73.2504784047851</v>
      </c>
      <c r="AK129" s="2"/>
      <c r="AL129" s="2"/>
      <c r="AM129" s="2"/>
      <c r="AN129" s="2"/>
      <c r="AO129" s="2"/>
      <c r="AP129" s="2" t="n">
        <v>1.95475534637747</v>
      </c>
      <c r="AQ129" s="2" t="n">
        <v>1.57044887979804</v>
      </c>
      <c r="AR129" s="2" t="n">
        <v>2.69151082475958</v>
      </c>
      <c r="AS129" s="2" t="n">
        <v>1103.5712890625</v>
      </c>
      <c r="AT129" s="2" t="n">
        <v>1099.94349975586</v>
      </c>
      <c r="AU129" s="2" t="n">
        <v>1107.00645141602</v>
      </c>
      <c r="AV129" s="2" t="n">
        <v>6.75694594786356</v>
      </c>
      <c r="AW129" s="2" t="n">
        <v>5.44681203305493</v>
      </c>
      <c r="AX129" s="2" t="n">
        <v>9.24358272402234</v>
      </c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</row>
    <row r="130" customFormat="false" ht="15" hidden="false" customHeight="false" outlineLevel="0" collapsed="false">
      <c r="A130" s="2" t="s">
        <v>354</v>
      </c>
      <c r="B130" s="2" t="n">
        <v>2009</v>
      </c>
      <c r="C130" s="2" t="s">
        <v>281</v>
      </c>
      <c r="D130" s="2" t="s">
        <v>282</v>
      </c>
      <c r="E130" s="2" t="n">
        <v>57</v>
      </c>
      <c r="F130" s="2" t="s">
        <v>355</v>
      </c>
      <c r="G130" s="2" t="s">
        <v>88</v>
      </c>
      <c r="H130" s="2" t="s">
        <v>89</v>
      </c>
      <c r="I130" s="2" t="n">
        <v>1</v>
      </c>
      <c r="J130" s="2" t="s">
        <v>163</v>
      </c>
      <c r="K130" s="2" t="n">
        <v>50.5697165889674</v>
      </c>
      <c r="L130" s="2" t="n">
        <v>1.0964</v>
      </c>
      <c r="M130" s="2" t="n">
        <v>2.82</v>
      </c>
      <c r="N130" s="2" t="n">
        <v>7.05</v>
      </c>
      <c r="O130" s="2" t="n">
        <v>0.1702</v>
      </c>
      <c r="P130" s="2" t="n">
        <v>16.6407813393341</v>
      </c>
      <c r="Q130" s="2" t="n">
        <v>18.0891837617452</v>
      </c>
      <c r="R130" s="2" t="n">
        <v>0.249</v>
      </c>
      <c r="S130" s="2" t="n">
        <v>0</v>
      </c>
      <c r="T130" s="2" t="n">
        <v>0.2496</v>
      </c>
      <c r="U130" s="2" t="n">
        <v>96.9348816900466</v>
      </c>
      <c r="V130" s="2" t="n">
        <v>2.63866148758529</v>
      </c>
      <c r="W130" s="2" t="n">
        <v>1.91381191567816</v>
      </c>
      <c r="X130" s="2" t="n">
        <v>0.0312158922230414</v>
      </c>
      <c r="Y130" s="2" t="n">
        <v>0.125780289429105</v>
      </c>
      <c r="Z130" s="2" t="n">
        <v>0.223134222942782</v>
      </c>
      <c r="AA130" s="2" t="n">
        <v>0.938843352998287</v>
      </c>
      <c r="AB130" s="2" t="n">
        <v>0.733502791308356</v>
      </c>
      <c r="AC130" s="2" t="n">
        <v>0.0182705806584097</v>
      </c>
      <c r="AD130" s="2" t="n">
        <v>0</v>
      </c>
      <c r="AE130" s="2" t="n">
        <v>0.00746804854580709</v>
      </c>
      <c r="AF130" s="2" t="n">
        <v>0.00545559428343106</v>
      </c>
      <c r="AG130" s="2" t="n">
        <v>0.495306292388912</v>
      </c>
      <c r="AH130" s="2" t="n">
        <v>0.117719089471012</v>
      </c>
      <c r="AI130" s="2" t="n">
        <v>0.386974618140075</v>
      </c>
      <c r="AJ130" s="2" t="n">
        <v>80.7970284829233</v>
      </c>
      <c r="AK130" s="2" t="n">
        <v>0.0861810985485827</v>
      </c>
      <c r="AL130" s="2" t="n">
        <v>0.0396002780267317</v>
      </c>
      <c r="AM130" s="2" t="n">
        <v>0.0182707680539502</v>
      </c>
      <c r="AN130" s="2" t="n">
        <v>0.0213295099727814</v>
      </c>
      <c r="AO130" s="2" t="n">
        <v>0.0324257942879006</v>
      </c>
      <c r="AP130" s="2" t="n">
        <v>0.206593089476602</v>
      </c>
      <c r="AQ130" s="2" t="n">
        <v>0</v>
      </c>
      <c r="AR130" s="2" t="n">
        <v>0.593452241197603</v>
      </c>
      <c r="AS130" s="2" t="n">
        <v>1136.63427734375</v>
      </c>
      <c r="AT130" s="2" t="n">
        <v>1126.56672668457</v>
      </c>
      <c r="AU130" s="2" t="n">
        <v>1146.76415405273</v>
      </c>
      <c r="AV130" s="2" t="n">
        <v>0.725067417940815</v>
      </c>
      <c r="AW130" s="2" t="n">
        <v>0</v>
      </c>
      <c r="AX130" s="2" t="n">
        <v>2.0758475122804</v>
      </c>
      <c r="AY130" s="2" t="n">
        <v>2.29408666636743</v>
      </c>
      <c r="AZ130" s="2" t="n">
        <v>0.149021383063605</v>
      </c>
      <c r="BA130" s="2" t="n">
        <v>1.69536099273411</v>
      </c>
      <c r="BB130" s="2" t="n">
        <v>2.86796207895293</v>
      </c>
      <c r="BC130" s="2" t="n">
        <v>1462.56937909532</v>
      </c>
      <c r="BD130" s="2" t="n">
        <v>2.99774580970852</v>
      </c>
      <c r="BE130" s="2" t="n">
        <v>75</v>
      </c>
      <c r="BF130" s="2" t="n">
        <v>75</v>
      </c>
      <c r="BG130" s="2" t="n">
        <v>7.90631545120726</v>
      </c>
      <c r="BH130" s="2" t="n">
        <v>0.523271397323241</v>
      </c>
      <c r="BI130" s="2" t="n">
        <v>5.87362997281463</v>
      </c>
      <c r="BJ130" s="2" t="n">
        <v>9.83424411685535</v>
      </c>
      <c r="BK130" s="2" t="n">
        <v>0.102943038818769</v>
      </c>
      <c r="BL130" s="2" t="n">
        <v>0</v>
      </c>
      <c r="BM130" s="2" t="n">
        <v>0.557381757669534</v>
      </c>
      <c r="BN130" s="2" t="n">
        <v>75000</v>
      </c>
      <c r="BO130" s="2" t="n">
        <v>1164.24914550781</v>
      </c>
      <c r="BP130" s="2" t="n">
        <v>1157.33555603027</v>
      </c>
      <c r="BQ130" s="2" t="n">
        <v>1167.6623626709</v>
      </c>
      <c r="BR130" s="2" t="n">
        <v>75000</v>
      </c>
      <c r="BS130" s="2" t="n">
        <v>0.361616332924901</v>
      </c>
      <c r="BT130" s="2" t="n">
        <v>0</v>
      </c>
      <c r="BU130" s="2" t="n">
        <v>1.9502850867497</v>
      </c>
      <c r="BV130" s="2" t="n">
        <v>48.77</v>
      </c>
      <c r="BW130" s="2" t="n">
        <v>3.43</v>
      </c>
      <c r="BX130" s="2" t="n">
        <v>13.84</v>
      </c>
      <c r="BY130" s="2" t="n">
        <v>11.98</v>
      </c>
      <c r="BZ130" s="2" t="n">
        <v>0.17</v>
      </c>
      <c r="CA130" s="2" t="n">
        <v>6.53</v>
      </c>
      <c r="CB130" s="2" t="n">
        <v>11.6</v>
      </c>
      <c r="CC130" s="2" t="n">
        <v>2.96</v>
      </c>
      <c r="CD130" s="2" t="n">
        <v>0.45</v>
      </c>
      <c r="CE130" s="2" t="n">
        <v>0.27</v>
      </c>
      <c r="CF130" s="2" t="n">
        <v>0.15</v>
      </c>
    </row>
    <row r="131" customFormat="false" ht="15" hidden="false" customHeight="false" outlineLevel="0" collapsed="false">
      <c r="A131" s="2" t="s">
        <v>356</v>
      </c>
      <c r="B131" s="2" t="n">
        <v>2009</v>
      </c>
      <c r="C131" s="2" t="s">
        <v>281</v>
      </c>
      <c r="D131" s="2" t="s">
        <v>282</v>
      </c>
      <c r="E131" s="2" t="n">
        <v>58</v>
      </c>
      <c r="F131" s="2" t="s">
        <v>357</v>
      </c>
      <c r="G131" s="2" t="s">
        <v>88</v>
      </c>
      <c r="H131" s="2" t="s">
        <v>94</v>
      </c>
      <c r="I131" s="2" t="n">
        <v>1</v>
      </c>
      <c r="J131" s="2" t="s">
        <v>163</v>
      </c>
      <c r="K131" s="2" t="n">
        <v>46.2377480054984</v>
      </c>
      <c r="L131" s="2" t="n">
        <v>2.75</v>
      </c>
      <c r="M131" s="2" t="n">
        <v>6.17</v>
      </c>
      <c r="N131" s="2" t="n">
        <v>7.3</v>
      </c>
      <c r="O131" s="2" t="n">
        <v>0.1334</v>
      </c>
      <c r="P131" s="2" t="n">
        <v>13.663671857297</v>
      </c>
      <c r="Q131" s="2" t="n">
        <v>19.5154652437751</v>
      </c>
      <c r="R131" s="2" t="n">
        <v>0.3755</v>
      </c>
      <c r="S131" s="2" t="n">
        <v>0</v>
      </c>
      <c r="T131" s="2" t="n">
        <v>0.4938</v>
      </c>
      <c r="U131" s="2" t="n">
        <v>96.6395851065706</v>
      </c>
      <c r="V131" s="2" t="n">
        <v>2.59583122827603</v>
      </c>
      <c r="W131" s="2" t="n">
        <v>1.77874066521046</v>
      </c>
      <c r="X131" s="2" t="n">
        <v>0.0795878266231639</v>
      </c>
      <c r="Y131" s="2" t="n">
        <v>0.279740837710819</v>
      </c>
      <c r="Z131" s="2" t="n">
        <v>0.234858970889949</v>
      </c>
      <c r="AA131" s="2" t="n">
        <v>0.783599357175341</v>
      </c>
      <c r="AB131" s="2" t="n">
        <v>0.804394208485725</v>
      </c>
      <c r="AC131" s="2" t="n">
        <v>0.0280072307663372</v>
      </c>
      <c r="AD131" s="2" t="n">
        <v>0</v>
      </c>
      <c r="AE131" s="2" t="n">
        <v>0.0150183030167955</v>
      </c>
      <c r="AF131" s="2" t="n">
        <v>0.00434655885999677</v>
      </c>
      <c r="AG131" s="2" t="n">
        <v>0.429875341785998</v>
      </c>
      <c r="AH131" s="2" t="n">
        <v>0.128841453809709</v>
      </c>
      <c r="AI131" s="2" t="n">
        <v>0.441283204404293</v>
      </c>
      <c r="AJ131" s="2" t="n">
        <v>76.9397564516854</v>
      </c>
      <c r="AK131" s="2" t="n">
        <v>0.221248446537716</v>
      </c>
      <c r="AL131" s="2" t="n">
        <v>0.0584955003153116</v>
      </c>
      <c r="AM131" s="2" t="n">
        <v>0.0280075872377995</v>
      </c>
      <c r="AN131" s="2" t="n">
        <v>0.0304879130775121</v>
      </c>
      <c r="AO131" s="2" t="n">
        <v>0.0953802667301018</v>
      </c>
      <c r="AP131" s="2" t="n">
        <v>2.85628726615267</v>
      </c>
      <c r="AQ131" s="2" t="n">
        <v>2.32507888211565</v>
      </c>
      <c r="AR131" s="2" t="n">
        <v>3.5911146177228</v>
      </c>
      <c r="AS131" s="2" t="n">
        <v>1136.03393554688</v>
      </c>
      <c r="AT131" s="2" t="n">
        <v>1125.24375</v>
      </c>
      <c r="AU131" s="2" t="n">
        <v>1140.85869140625</v>
      </c>
      <c r="AV131" s="2" t="n">
        <v>9.79522157757856</v>
      </c>
      <c r="AW131" s="2" t="n">
        <v>8.0109432898462</v>
      </c>
      <c r="AX131" s="2" t="n">
        <v>12.2352479272636</v>
      </c>
      <c r="AY131" s="2" t="n">
        <v>4.38612804324505</v>
      </c>
      <c r="AZ131" s="2"/>
      <c r="BA131" s="2" t="n">
        <v>4.02550987448381</v>
      </c>
      <c r="BB131" s="2" t="n">
        <v>4.81133290469989</v>
      </c>
      <c r="BC131" s="2" t="n">
        <v>1465.25110785061</v>
      </c>
      <c r="BD131" s="2"/>
      <c r="BE131" s="2" t="n">
        <v>1</v>
      </c>
      <c r="BF131" s="2" t="n">
        <v>1</v>
      </c>
      <c r="BG131" s="2" t="n">
        <v>14.8382725751295</v>
      </c>
      <c r="BH131" s="2"/>
      <c r="BI131" s="2" t="n">
        <v>13.6622868562858</v>
      </c>
      <c r="BJ131" s="2" t="n">
        <v>16.214752952743</v>
      </c>
      <c r="BK131" s="2" t="n">
        <v>2.12670950298022</v>
      </c>
      <c r="BL131" s="2" t="n">
        <v>1.43821636855585</v>
      </c>
      <c r="BM131" s="2" t="n">
        <v>3.17755493259784</v>
      </c>
      <c r="BN131" s="2" t="n">
        <v>1000</v>
      </c>
      <c r="BO131" s="2" t="n">
        <v>1156.62725830078</v>
      </c>
      <c r="BP131" s="2" t="n">
        <v>1146.87827758789</v>
      </c>
      <c r="BQ131" s="2" t="n">
        <v>1160.25476074219</v>
      </c>
      <c r="BR131" s="2" t="n">
        <v>1000</v>
      </c>
      <c r="BS131" s="2" t="n">
        <v>7.34025427423315</v>
      </c>
      <c r="BT131" s="2" t="n">
        <v>4.99395040062522</v>
      </c>
      <c r="BU131" s="2" t="n">
        <v>10.8660306704255</v>
      </c>
      <c r="BV131" s="2" t="n">
        <v>48.62</v>
      </c>
      <c r="BW131" s="2" t="n">
        <v>3.78</v>
      </c>
      <c r="BX131" s="2" t="n">
        <v>13.42</v>
      </c>
      <c r="BY131" s="2" t="n">
        <v>12.57</v>
      </c>
      <c r="BZ131" s="2" t="n">
        <v>0.23</v>
      </c>
      <c r="CA131" s="2" t="n">
        <v>6.14</v>
      </c>
      <c r="CB131" s="2" t="n">
        <v>11.19</v>
      </c>
      <c r="CC131" s="2" t="n">
        <v>3.21</v>
      </c>
      <c r="CD131" s="2" t="n">
        <v>0.48</v>
      </c>
      <c r="CE131" s="2" t="n">
        <v>0.36</v>
      </c>
      <c r="CF131" s="2" t="n">
        <v>0.15</v>
      </c>
    </row>
    <row r="132" customFormat="false" ht="15" hidden="false" customHeight="false" outlineLevel="0" collapsed="false">
      <c r="A132" s="2" t="s">
        <v>358</v>
      </c>
      <c r="B132" s="2" t="n">
        <v>2009</v>
      </c>
      <c r="C132" s="2" t="s">
        <v>281</v>
      </c>
      <c r="D132" s="2" t="s">
        <v>282</v>
      </c>
      <c r="E132" s="2" t="n">
        <v>59</v>
      </c>
      <c r="F132" s="2" t="s">
        <v>359</v>
      </c>
      <c r="G132" s="2" t="s">
        <v>93</v>
      </c>
      <c r="H132" s="2" t="s">
        <v>94</v>
      </c>
      <c r="I132" s="2" t="n">
        <v>1</v>
      </c>
      <c r="J132" s="2" t="s">
        <v>163</v>
      </c>
      <c r="K132" s="2" t="n">
        <v>48.193150491092</v>
      </c>
      <c r="L132" s="2" t="n">
        <v>1.94</v>
      </c>
      <c r="M132" s="2" t="n">
        <v>4.69</v>
      </c>
      <c r="N132" s="2" t="n">
        <v>6.7</v>
      </c>
      <c r="O132" s="2" t="n">
        <v>0.14</v>
      </c>
      <c r="P132" s="2" t="n">
        <v>14.2746096337411</v>
      </c>
      <c r="Q132" s="2" t="n">
        <v>20.0958142606011</v>
      </c>
      <c r="R132" s="2" t="n">
        <v>0.3326</v>
      </c>
      <c r="S132" s="2" t="n">
        <v>0</v>
      </c>
      <c r="T132" s="2" t="n">
        <v>0.5109</v>
      </c>
      <c r="U132" s="2" t="n">
        <v>96.8770743854343</v>
      </c>
      <c r="V132" s="2" t="n">
        <v>2.61398422853877</v>
      </c>
      <c r="W132" s="2" t="n">
        <v>1.84108893548394</v>
      </c>
      <c r="X132" s="2" t="n">
        <v>0.0557556869642506</v>
      </c>
      <c r="Y132" s="2" t="n">
        <v>0.211162618890191</v>
      </c>
      <c r="Z132" s="2" t="n">
        <v>0.214058553300631</v>
      </c>
      <c r="AA132" s="2" t="n">
        <v>0.812951015256286</v>
      </c>
      <c r="AB132" s="2" t="n">
        <v>0.822562911478717</v>
      </c>
      <c r="AC132" s="2" t="n">
        <v>0.0246351926669806</v>
      </c>
      <c r="AD132" s="2" t="n">
        <v>0</v>
      </c>
      <c r="AE132" s="2" t="n">
        <v>0.0154304705329152</v>
      </c>
      <c r="AF132" s="2" t="n">
        <v>0.00452992760117065</v>
      </c>
      <c r="AG132" s="2" t="n">
        <v>0.439534554082803</v>
      </c>
      <c r="AH132" s="2" t="n">
        <v>0.115734071311716</v>
      </c>
      <c r="AI132" s="2" t="n">
        <v>0.444731374605481</v>
      </c>
      <c r="AJ132" s="2" t="n">
        <v>79.157102343125</v>
      </c>
      <c r="AK132" s="2" t="n">
        <v>0.158902213301489</v>
      </c>
      <c r="AL132" s="2" t="n">
        <v>0.052262475115674</v>
      </c>
      <c r="AM132" s="2" t="n">
        <v>0.0246354738555192</v>
      </c>
      <c r="AN132" s="2" t="n">
        <v>0.0276270012601548</v>
      </c>
      <c r="AO132" s="2" t="n">
        <v>0.065637606020667</v>
      </c>
      <c r="AP132" s="2" t="n">
        <v>2.73329440607792</v>
      </c>
      <c r="AQ132" s="2" t="n">
        <v>2.33168028845555</v>
      </c>
      <c r="AR132" s="2" t="n">
        <v>3.14719831003911</v>
      </c>
      <c r="AS132" s="2" t="n">
        <v>1111.44091796875</v>
      </c>
      <c r="AT132" s="2" t="n">
        <v>1103.19615478516</v>
      </c>
      <c r="AU132" s="2" t="n">
        <v>1115.07659912109</v>
      </c>
      <c r="AV132" s="2" t="n">
        <v>9.38362158352738</v>
      </c>
      <c r="AW132" s="2" t="n">
        <v>8.03322171726343</v>
      </c>
      <c r="AX132" s="2" t="n">
        <v>10.7651173650243</v>
      </c>
      <c r="AY132" s="2" t="n">
        <v>3.6797000359421</v>
      </c>
      <c r="AZ132" s="2" t="n">
        <v>0.174820438046289</v>
      </c>
      <c r="BA132" s="2" t="n">
        <v>3.08503686042716</v>
      </c>
      <c r="BB132" s="2" t="n">
        <v>4.2449949281369</v>
      </c>
      <c r="BC132" s="2" t="n">
        <v>1458.69487489105</v>
      </c>
      <c r="BD132" s="2" t="n">
        <v>3.32485778336056</v>
      </c>
      <c r="BE132" s="2" t="n">
        <v>53</v>
      </c>
      <c r="BF132" s="2" t="n">
        <v>53</v>
      </c>
      <c r="BG132" s="2" t="n">
        <v>12.5271895280271</v>
      </c>
      <c r="BH132" s="2" t="n">
        <v>0.613725143904518</v>
      </c>
      <c r="BI132" s="2" t="n">
        <v>10.558302288941</v>
      </c>
      <c r="BJ132" s="2" t="n">
        <v>14.3789722150573</v>
      </c>
      <c r="BK132" s="2" t="n">
        <v>1.880191556572</v>
      </c>
      <c r="BL132" s="2" t="n">
        <v>1.25798237501158</v>
      </c>
      <c r="BM132" s="2" t="n">
        <v>2.41925514975999</v>
      </c>
      <c r="BN132" s="2" t="n">
        <v>53000</v>
      </c>
      <c r="BO132" s="2" t="n">
        <v>1159.94384765625</v>
      </c>
      <c r="BP132" s="2" t="n">
        <v>1150.58274230957</v>
      </c>
      <c r="BQ132" s="2" t="n">
        <v>1164.34913024902</v>
      </c>
      <c r="BR132" s="2" t="n">
        <v>53000</v>
      </c>
      <c r="BS132" s="2" t="n">
        <v>6.50345134898254</v>
      </c>
      <c r="BT132" s="2" t="n">
        <v>4.37498988673128</v>
      </c>
      <c r="BU132" s="2" t="n">
        <v>8.32851947800806</v>
      </c>
      <c r="BV132" s="2" t="n">
        <v>48.77</v>
      </c>
      <c r="BW132" s="2" t="n">
        <v>3.43</v>
      </c>
      <c r="BX132" s="2" t="n">
        <v>13.84</v>
      </c>
      <c r="BY132" s="2" t="n">
        <v>11.98</v>
      </c>
      <c r="BZ132" s="2" t="n">
        <v>0.17</v>
      </c>
      <c r="CA132" s="2" t="n">
        <v>6.53</v>
      </c>
      <c r="CB132" s="2" t="n">
        <v>11.6</v>
      </c>
      <c r="CC132" s="2" t="n">
        <v>2.96</v>
      </c>
      <c r="CD132" s="2" t="n">
        <v>0.45</v>
      </c>
      <c r="CE132" s="2" t="n">
        <v>0.27</v>
      </c>
      <c r="CF132" s="2" t="n">
        <v>0.15</v>
      </c>
    </row>
    <row r="133" customFormat="false" ht="15" hidden="false" customHeight="false" outlineLevel="0" collapsed="false">
      <c r="A133" s="2" t="s">
        <v>360</v>
      </c>
      <c r="B133" s="2" t="n">
        <v>2009</v>
      </c>
      <c r="C133" s="2" t="s">
        <v>281</v>
      </c>
      <c r="D133" s="2" t="s">
        <v>282</v>
      </c>
      <c r="E133" s="2" t="n">
        <v>60</v>
      </c>
      <c r="F133" s="2" t="s">
        <v>361</v>
      </c>
      <c r="G133" s="2" t="s">
        <v>88</v>
      </c>
      <c r="H133" s="2" t="s">
        <v>94</v>
      </c>
      <c r="I133" s="2" t="n">
        <v>1</v>
      </c>
      <c r="J133" s="2" t="s">
        <v>163</v>
      </c>
      <c r="K133" s="2" t="n">
        <v>48.5942586932651</v>
      </c>
      <c r="L133" s="2" t="n">
        <v>2.34</v>
      </c>
      <c r="M133" s="2" t="n">
        <v>6.18</v>
      </c>
      <c r="N133" s="2" t="n">
        <v>7.59</v>
      </c>
      <c r="O133" s="2" t="n">
        <v>0.1564</v>
      </c>
      <c r="P133" s="2" t="n">
        <v>13.8188306576638</v>
      </c>
      <c r="Q133" s="2" t="n">
        <v>18.5023135703332</v>
      </c>
      <c r="R133" s="2" t="n">
        <v>0.4038</v>
      </c>
      <c r="S133" s="2" t="n">
        <v>0.0056</v>
      </c>
      <c r="T133" s="2" t="n">
        <v>0.3329</v>
      </c>
      <c r="U133" s="2" t="n">
        <v>97.924102921262</v>
      </c>
      <c r="V133" s="2" t="n">
        <v>2.59318342918876</v>
      </c>
      <c r="W133" s="2" t="n">
        <v>1.87130309782467</v>
      </c>
      <c r="X133" s="2" t="n">
        <v>0.0677911535139381</v>
      </c>
      <c r="Y133" s="2" t="n">
        <v>0.280480321890943</v>
      </c>
      <c r="Z133" s="2" t="n">
        <v>0.244438316709585</v>
      </c>
      <c r="AA133" s="2" t="n">
        <v>0.793306764124737</v>
      </c>
      <c r="AB133" s="2" t="n">
        <v>0.763412519507705</v>
      </c>
      <c r="AC133" s="2" t="n">
        <v>0.0301487810693115</v>
      </c>
      <c r="AD133" s="2" t="n">
        <v>0.000275111145287853</v>
      </c>
      <c r="AE133" s="2" t="n">
        <v>0.0101350708080077</v>
      </c>
      <c r="AF133" s="2" t="n">
        <v>0.00510116885290894</v>
      </c>
      <c r="AG133" s="2" t="n">
        <v>0.440442726374468</v>
      </c>
      <c r="AH133" s="2" t="n">
        <v>0.135711787054708</v>
      </c>
      <c r="AI133" s="2" t="n">
        <v>0.423845486570824</v>
      </c>
      <c r="AJ133" s="2" t="n">
        <v>76.4452444801702</v>
      </c>
      <c r="AK133" s="2"/>
      <c r="AL133" s="2"/>
      <c r="AM133" s="2"/>
      <c r="AN133" s="2"/>
      <c r="AO133" s="2"/>
      <c r="AP133" s="2" t="n">
        <v>4.18849987638444</v>
      </c>
      <c r="AQ133" s="2" t="n">
        <v>3.69438277137727</v>
      </c>
      <c r="AR133" s="2" t="n">
        <v>4.75257553709001</v>
      </c>
      <c r="AS133" s="2" t="n">
        <v>1116.99438476563</v>
      </c>
      <c r="AT133" s="2" t="n">
        <v>1108.97999267578</v>
      </c>
      <c r="AU133" s="2" t="n">
        <v>1123.3895904541</v>
      </c>
      <c r="AV133" s="2" t="n">
        <v>14.1947777195816</v>
      </c>
      <c r="AW133" s="2" t="n">
        <v>12.5755319248234</v>
      </c>
      <c r="AX133" s="2" t="n">
        <v>16.0251950115117</v>
      </c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</row>
    <row r="134" customFormat="false" ht="15" hidden="false" customHeight="false" outlineLevel="0" collapsed="false">
      <c r="A134" s="2" t="s">
        <v>362</v>
      </c>
      <c r="B134" s="2" t="n">
        <v>2009</v>
      </c>
      <c r="C134" s="2" t="s">
        <v>281</v>
      </c>
      <c r="D134" s="2" t="s">
        <v>282</v>
      </c>
      <c r="E134" s="2" t="n">
        <v>65</v>
      </c>
      <c r="F134" s="2" t="s">
        <v>363</v>
      </c>
      <c r="G134" s="2" t="s">
        <v>88</v>
      </c>
      <c r="H134" s="2" t="s">
        <v>89</v>
      </c>
      <c r="I134" s="2" t="n">
        <v>1</v>
      </c>
      <c r="J134" s="2" t="s">
        <v>163</v>
      </c>
      <c r="K134" s="2" t="n">
        <v>51.4320992236394</v>
      </c>
      <c r="L134" s="2" t="n">
        <v>1.1044</v>
      </c>
      <c r="M134" s="2" t="n">
        <v>2.48</v>
      </c>
      <c r="N134" s="2" t="n">
        <v>7.64</v>
      </c>
      <c r="O134" s="2" t="n">
        <v>0.2128</v>
      </c>
      <c r="P134" s="2" t="n">
        <v>17.7171955168784</v>
      </c>
      <c r="Q134" s="2" t="n">
        <v>17.3219426886532</v>
      </c>
      <c r="R134" s="2" t="n">
        <v>0.1955</v>
      </c>
      <c r="S134" s="2" t="n">
        <v>0</v>
      </c>
      <c r="T134" s="2" t="n">
        <v>0.3713</v>
      </c>
      <c r="U134" s="2" t="n">
        <v>98.4752374291711</v>
      </c>
      <c r="V134" s="2" t="n">
        <v>2.6532842662075</v>
      </c>
      <c r="W134" s="2" t="n">
        <v>1.93572153594084</v>
      </c>
      <c r="X134" s="2" t="n">
        <v>0.0312703700306437</v>
      </c>
      <c r="Y134" s="2" t="n">
        <v>0.110005667075949</v>
      </c>
      <c r="Z134" s="2" t="n">
        <v>0.240475215763141</v>
      </c>
      <c r="AA134" s="2" t="n">
        <v>0.994063886106071</v>
      </c>
      <c r="AB134" s="2" t="n">
        <v>0.698520722119627</v>
      </c>
      <c r="AC134" s="2" t="n">
        <v>0.0142659159590013</v>
      </c>
      <c r="AD134" s="2" t="n">
        <v>0</v>
      </c>
      <c r="AE134" s="2" t="n">
        <v>0.0110480949322572</v>
      </c>
      <c r="AF134" s="2" t="n">
        <v>0.00678350313766715</v>
      </c>
      <c r="AG134" s="2" t="n">
        <v>0.514243725812291</v>
      </c>
      <c r="AH134" s="2" t="n">
        <v>0.124401331391247</v>
      </c>
      <c r="AI134" s="2" t="n">
        <v>0.361354942796463</v>
      </c>
      <c r="AJ134" s="2" t="n">
        <v>80.5210531283264</v>
      </c>
      <c r="AK134" s="2"/>
      <c r="AL134" s="2"/>
      <c r="AM134" s="2"/>
      <c r="AN134" s="2"/>
      <c r="AO134" s="2"/>
      <c r="AP134" s="2" t="n">
        <v>0.0429963426865556</v>
      </c>
      <c r="AQ134" s="2" t="n">
        <v>0</v>
      </c>
      <c r="AR134" s="2" t="n">
        <v>0.365247069505594</v>
      </c>
      <c r="AS134" s="2" t="n">
        <v>1148.4423828125</v>
      </c>
      <c r="AT134" s="2" t="n">
        <v>1144.43811645508</v>
      </c>
      <c r="AU134" s="2" t="n">
        <v>1150.43682556152</v>
      </c>
      <c r="AV134" s="2" t="n">
        <v>0.151114826081483</v>
      </c>
      <c r="AW134" s="2" t="n">
        <v>0</v>
      </c>
      <c r="AX134" s="2" t="n">
        <v>1.28012998739471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</row>
    <row r="135" customFormat="false" ht="15" hidden="false" customHeight="false" outlineLevel="0" collapsed="false">
      <c r="A135" s="2" t="s">
        <v>364</v>
      </c>
      <c r="B135" s="2" t="n">
        <v>2009</v>
      </c>
      <c r="C135" s="2" t="s">
        <v>281</v>
      </c>
      <c r="D135" s="2" t="s">
        <v>282</v>
      </c>
      <c r="E135" s="2" t="n">
        <v>66</v>
      </c>
      <c r="F135" s="2" t="s">
        <v>365</v>
      </c>
      <c r="G135" s="2" t="s">
        <v>88</v>
      </c>
      <c r="H135" s="2" t="s">
        <v>94</v>
      </c>
      <c r="I135" s="2" t="n">
        <v>1</v>
      </c>
      <c r="J135" s="2" t="s">
        <v>163</v>
      </c>
      <c r="K135" s="2" t="n">
        <v>47.1703245755508</v>
      </c>
      <c r="L135" s="2" t="n">
        <v>2.55</v>
      </c>
      <c r="M135" s="2" t="n">
        <v>5.94</v>
      </c>
      <c r="N135" s="2" t="n">
        <v>7.05</v>
      </c>
      <c r="O135" s="2" t="n">
        <v>0.1377</v>
      </c>
      <c r="P135" s="2" t="n">
        <v>14.1000559833285</v>
      </c>
      <c r="Q135" s="2" t="n">
        <v>19.8597400842651</v>
      </c>
      <c r="R135" s="2" t="n">
        <v>0.3357</v>
      </c>
      <c r="S135" s="2" t="n">
        <v>0</v>
      </c>
      <c r="T135" s="2" t="n">
        <v>0.8355</v>
      </c>
      <c r="U135" s="2" t="n">
        <v>97.9790206431444</v>
      </c>
      <c r="V135" s="2" t="n">
        <v>2.63474746122199</v>
      </c>
      <c r="W135" s="2" t="n">
        <v>1.78781379008825</v>
      </c>
      <c r="X135" s="2" t="n">
        <v>0.0727095722749673</v>
      </c>
      <c r="Y135" s="2" t="n">
        <v>0.265335042213908</v>
      </c>
      <c r="Z135" s="2" t="n">
        <v>0.223465698062886</v>
      </c>
      <c r="AA135" s="2" t="n">
        <v>0.796681885464181</v>
      </c>
      <c r="AB135" s="2" t="n">
        <v>0.806493820808247</v>
      </c>
      <c r="AC135" s="2" t="n">
        <v>0.0246688570156247</v>
      </c>
      <c r="AD135" s="2" t="n">
        <v>0</v>
      </c>
      <c r="AE135" s="2" t="n">
        <v>0.0250353512679293</v>
      </c>
      <c r="AF135" s="2" t="n">
        <v>0.0044203955581485</v>
      </c>
      <c r="AG135" s="2" t="n">
        <v>0.436145750103634</v>
      </c>
      <c r="AH135" s="2" t="n">
        <v>0.122336928054142</v>
      </c>
      <c r="AI135" s="2" t="n">
        <v>0.441517321842224</v>
      </c>
      <c r="AJ135" s="2" t="n">
        <v>78.0947676913301</v>
      </c>
      <c r="AK135" s="2" t="n">
        <v>0.212175981864563</v>
      </c>
      <c r="AL135" s="2" t="n">
        <v>0.0531619031538938</v>
      </c>
      <c r="AM135" s="2" t="n">
        <v>0.024669161120666</v>
      </c>
      <c r="AN135" s="2" t="n">
        <v>0.0284927420332278</v>
      </c>
      <c r="AO135" s="2" t="n">
        <v>0.0918416199156677</v>
      </c>
      <c r="AP135" s="2" t="n">
        <v>3.52971316997939</v>
      </c>
      <c r="AQ135" s="2" t="n">
        <v>3.04999765579634</v>
      </c>
      <c r="AR135" s="2" t="n">
        <v>4.0851102871173</v>
      </c>
      <c r="AS135" s="2" t="n">
        <v>1138.2900390625</v>
      </c>
      <c r="AT135" s="2" t="n">
        <v>1133.42937316895</v>
      </c>
      <c r="AU135" s="2" t="n">
        <v>1141.39578552246</v>
      </c>
      <c r="AV135" s="2" t="n">
        <v>12.0326146199421</v>
      </c>
      <c r="AW135" s="2" t="n">
        <v>10.4416214412934</v>
      </c>
      <c r="AX135" s="2" t="n">
        <v>13.857189038921</v>
      </c>
      <c r="AY135" s="2" t="n">
        <v>3.80790119216284</v>
      </c>
      <c r="AZ135" s="2" t="n">
        <v>0.201936222429949</v>
      </c>
      <c r="BA135" s="2" t="n">
        <v>3.36483798392367</v>
      </c>
      <c r="BB135" s="2" t="n">
        <v>4.25216048554303</v>
      </c>
      <c r="BC135" s="2" t="n">
        <v>1461.2467491844</v>
      </c>
      <c r="BD135" s="2" t="n">
        <v>3.58437374374122</v>
      </c>
      <c r="BE135" s="2" t="n">
        <v>6</v>
      </c>
      <c r="BF135" s="2" t="n">
        <v>6</v>
      </c>
      <c r="BG135" s="2" t="n">
        <v>12.9488464234003</v>
      </c>
      <c r="BH135" s="2" t="n">
        <v>0.708751983832202</v>
      </c>
      <c r="BI135" s="2" t="n">
        <v>11.4873731875382</v>
      </c>
      <c r="BJ135" s="2" t="n">
        <v>14.4023207266379</v>
      </c>
      <c r="BK135" s="2" t="n">
        <v>2.19525010707416</v>
      </c>
      <c r="BL135" s="2" t="n">
        <v>1.79963948248181</v>
      </c>
      <c r="BM135" s="2" t="n">
        <v>2.63354851406801</v>
      </c>
      <c r="BN135" s="2" t="n">
        <v>6000</v>
      </c>
      <c r="BO135" s="2" t="n">
        <v>1156.58032226563</v>
      </c>
      <c r="BP135" s="2" t="n">
        <v>1147.41374816895</v>
      </c>
      <c r="BQ135" s="2" t="n">
        <v>1160.29999389648</v>
      </c>
      <c r="BR135" s="2" t="n">
        <v>6000</v>
      </c>
      <c r="BS135" s="2" t="n">
        <v>7.57226042357399</v>
      </c>
      <c r="BT135" s="2" t="n">
        <v>6.22921977777048</v>
      </c>
      <c r="BU135" s="2" t="n">
        <v>9.04914521400044</v>
      </c>
      <c r="BV135" s="2" t="n">
        <v>48.26</v>
      </c>
      <c r="BW135" s="2" t="n">
        <v>3.66</v>
      </c>
      <c r="BX135" s="2" t="n">
        <v>13.59</v>
      </c>
      <c r="BY135" s="2" t="n">
        <v>12.44</v>
      </c>
      <c r="BZ135" s="2" t="n">
        <v>0.2</v>
      </c>
      <c r="CA135" s="2" t="n">
        <v>6.41</v>
      </c>
      <c r="CB135" s="2" t="n">
        <v>11.52</v>
      </c>
      <c r="CC135" s="2" t="n">
        <v>3.18</v>
      </c>
      <c r="CD135" s="2" t="n">
        <v>0.46</v>
      </c>
      <c r="CE135" s="2" t="n">
        <v>0.3</v>
      </c>
      <c r="CF135" s="2" t="n">
        <v>0.15</v>
      </c>
    </row>
    <row r="136" customFormat="false" ht="15" hidden="false" customHeight="false" outlineLevel="0" collapsed="false">
      <c r="A136" s="2" t="s">
        <v>366</v>
      </c>
      <c r="B136" s="2" t="n">
        <v>2009</v>
      </c>
      <c r="C136" s="2" t="s">
        <v>281</v>
      </c>
      <c r="D136" s="2" t="s">
        <v>282</v>
      </c>
      <c r="E136" s="2" t="n">
        <v>67</v>
      </c>
      <c r="F136" s="2" t="s">
        <v>367</v>
      </c>
      <c r="G136" s="2" t="s">
        <v>93</v>
      </c>
      <c r="H136" s="2" t="s">
        <v>94</v>
      </c>
      <c r="I136" s="2" t="n">
        <v>1</v>
      </c>
      <c r="J136" s="2" t="s">
        <v>163</v>
      </c>
      <c r="K136" s="2" t="n">
        <v>49.1257270611444</v>
      </c>
      <c r="L136" s="2" t="n">
        <v>1.603</v>
      </c>
      <c r="M136" s="2" t="n">
        <v>4.65</v>
      </c>
      <c r="N136" s="2" t="n">
        <v>6.46</v>
      </c>
      <c r="O136" s="2" t="n">
        <v>0.1763</v>
      </c>
      <c r="P136" s="2" t="n">
        <v>15.1473778858041</v>
      </c>
      <c r="Q136" s="2" t="n">
        <v>19.8203943882091</v>
      </c>
      <c r="R136" s="2" t="n">
        <v>0.3185</v>
      </c>
      <c r="S136" s="2" t="n">
        <v>0</v>
      </c>
      <c r="T136" s="2" t="n">
        <v>0.8835</v>
      </c>
      <c r="U136" s="2" t="n">
        <v>98.1847993351576</v>
      </c>
      <c r="V136" s="2" t="n">
        <v>2.65645139746618</v>
      </c>
      <c r="W136" s="2" t="n">
        <v>1.84671352323117</v>
      </c>
      <c r="X136" s="2" t="n">
        <v>0.0453337924551319</v>
      </c>
      <c r="Y136" s="2" t="n">
        <v>0.206014713315957</v>
      </c>
      <c r="Z136" s="2" t="n">
        <v>0.203091332820989</v>
      </c>
      <c r="AA136" s="2" t="n">
        <v>0.848865114278558</v>
      </c>
      <c r="AB136" s="2" t="n">
        <v>0.798319791245492</v>
      </c>
      <c r="AC136" s="2" t="n">
        <v>0.023213693364173</v>
      </c>
      <c r="AD136" s="2" t="n">
        <v>0</v>
      </c>
      <c r="AE136" s="2" t="n">
        <v>0.0262573509677006</v>
      </c>
      <c r="AF136" s="2" t="n">
        <v>0.00561327896633165</v>
      </c>
      <c r="AG136" s="2" t="n">
        <v>0.458777503967633</v>
      </c>
      <c r="AH136" s="2" t="n">
        <v>0.109762709271261</v>
      </c>
      <c r="AI136" s="2" t="n">
        <v>0.431459786761106</v>
      </c>
      <c r="AJ136" s="2" t="n">
        <v>80.6939409534537</v>
      </c>
      <c r="AK136" s="2" t="n">
        <v>0.153278713106258</v>
      </c>
      <c r="AL136" s="2" t="n">
        <v>0.052737894942162</v>
      </c>
      <c r="AM136" s="2" t="n">
        <v>0.0232139443167492</v>
      </c>
      <c r="AN136" s="2" t="n">
        <v>0.0295239506254128</v>
      </c>
      <c r="AO136" s="2" t="n">
        <v>0.0618773812404227</v>
      </c>
      <c r="AP136" s="2" t="n">
        <v>4.22337032329431</v>
      </c>
      <c r="AQ136" s="2" t="n">
        <v>3.64643026363244</v>
      </c>
      <c r="AR136" s="2" t="n">
        <v>4.63426499139657</v>
      </c>
      <c r="AS136" s="2" t="n">
        <v>1136.72314453125</v>
      </c>
      <c r="AT136" s="2" t="n">
        <v>1132.77508850098</v>
      </c>
      <c r="AU136" s="2" t="n">
        <v>1142.20783081055</v>
      </c>
      <c r="AV136" s="2" t="n">
        <v>14.3084909559737</v>
      </c>
      <c r="AW136" s="2" t="n">
        <v>12.417601617779</v>
      </c>
      <c r="AX136" s="2" t="n">
        <v>15.6428769993336</v>
      </c>
      <c r="AY136" s="2" t="n">
        <v>3.56997296727657</v>
      </c>
      <c r="AZ136" s="2" t="n">
        <v>0.162401867627805</v>
      </c>
      <c r="BA136" s="2" t="n">
        <v>3.00521442492837</v>
      </c>
      <c r="BB136" s="2" t="n">
        <v>4.10965220188168</v>
      </c>
      <c r="BC136" s="2" t="n">
        <v>1464.46180736203</v>
      </c>
      <c r="BD136" s="2" t="n">
        <v>3.33125774142131</v>
      </c>
      <c r="BE136" s="2" t="n">
        <v>76</v>
      </c>
      <c r="BF136" s="2" t="n">
        <v>76</v>
      </c>
      <c r="BG136" s="2" t="n">
        <v>12.165503333939</v>
      </c>
      <c r="BH136" s="2" t="n">
        <v>0.570189583084346</v>
      </c>
      <c r="BI136" s="2" t="n">
        <v>10.2923845902898</v>
      </c>
      <c r="BJ136" s="2" t="n">
        <v>13.9373821676168</v>
      </c>
      <c r="BK136" s="2" t="n">
        <v>2.06483964331325</v>
      </c>
      <c r="BL136" s="2" t="n">
        <v>1.36092782055353</v>
      </c>
      <c r="BM136" s="2" t="n">
        <v>2.65802485068342</v>
      </c>
      <c r="BN136" s="2" t="n">
        <v>76000</v>
      </c>
      <c r="BO136" s="2" t="n">
        <v>1161.86486816406</v>
      </c>
      <c r="BP136" s="2" t="n">
        <v>1154.68922424316</v>
      </c>
      <c r="BQ136" s="2" t="n">
        <v>1166.42531738281</v>
      </c>
      <c r="BR136" s="2" t="n">
        <v>76000</v>
      </c>
      <c r="BS136" s="2" t="n">
        <v>7.13058375052134</v>
      </c>
      <c r="BT136" s="2" t="n">
        <v>4.72876675094163</v>
      </c>
      <c r="BU136" s="2" t="n">
        <v>9.13127716048027</v>
      </c>
      <c r="BV136" s="2" t="n">
        <v>48.77</v>
      </c>
      <c r="BW136" s="2" t="n">
        <v>3.43</v>
      </c>
      <c r="BX136" s="2" t="n">
        <v>13.84</v>
      </c>
      <c r="BY136" s="2" t="n">
        <v>11.98</v>
      </c>
      <c r="BZ136" s="2" t="n">
        <v>0.17</v>
      </c>
      <c r="CA136" s="2" t="n">
        <v>6.53</v>
      </c>
      <c r="CB136" s="2" t="n">
        <v>11.6</v>
      </c>
      <c r="CC136" s="2" t="n">
        <v>2.96</v>
      </c>
      <c r="CD136" s="2" t="n">
        <v>0.45</v>
      </c>
      <c r="CE136" s="2" t="n">
        <v>0.27</v>
      </c>
      <c r="CF136" s="2" t="n">
        <v>0.15</v>
      </c>
    </row>
    <row r="137" customFormat="false" ht="15" hidden="false" customHeight="false" outlineLevel="0" collapsed="false">
      <c r="A137" s="2" t="s">
        <v>368</v>
      </c>
      <c r="B137" s="2" t="n">
        <v>2009</v>
      </c>
      <c r="C137" s="2" t="s">
        <v>281</v>
      </c>
      <c r="D137" s="2" t="s">
        <v>282</v>
      </c>
      <c r="E137" s="2" t="n">
        <v>68</v>
      </c>
      <c r="F137" s="2" t="s">
        <v>369</v>
      </c>
      <c r="G137" s="2" t="s">
        <v>97</v>
      </c>
      <c r="H137" s="2" t="s">
        <v>94</v>
      </c>
      <c r="I137" s="2" t="n">
        <v>1</v>
      </c>
      <c r="J137" s="2" t="s">
        <v>163</v>
      </c>
      <c r="K137" s="2" t="n">
        <v>48.7045634488627</v>
      </c>
      <c r="L137" s="2" t="n">
        <v>2.09</v>
      </c>
      <c r="M137" s="2" t="n">
        <v>4.76</v>
      </c>
      <c r="N137" s="2" t="n">
        <v>7.65</v>
      </c>
      <c r="O137" s="2" t="n">
        <v>0.1601</v>
      </c>
      <c r="P137" s="2" t="n">
        <v>14.5849272344746</v>
      </c>
      <c r="Q137" s="2" t="n">
        <v>20.0367957165171</v>
      </c>
      <c r="R137" s="2" t="n">
        <v>0.3345</v>
      </c>
      <c r="S137" s="2" t="n">
        <v>0</v>
      </c>
      <c r="T137" s="2" t="n">
        <v>0.2806</v>
      </c>
      <c r="U137" s="2" t="n">
        <v>98.6014863998544</v>
      </c>
      <c r="V137" s="2" t="n">
        <v>2.65246202095747</v>
      </c>
      <c r="W137" s="2" t="n">
        <v>1.83363501543987</v>
      </c>
      <c r="X137" s="2" t="n">
        <v>0.0591953395453266</v>
      </c>
      <c r="Y137" s="2" t="n">
        <v>0.211205361328666</v>
      </c>
      <c r="Z137" s="2" t="n">
        <v>0.240864617158965</v>
      </c>
      <c r="AA137" s="2" t="n">
        <v>0.818574464650941</v>
      </c>
      <c r="AB137" s="2" t="n">
        <v>0.808249742302544</v>
      </c>
      <c r="AC137" s="2" t="n">
        <v>0.0244165123278796</v>
      </c>
      <c r="AD137" s="2" t="n">
        <v>0</v>
      </c>
      <c r="AE137" s="2" t="n">
        <v>0.00835188916392927</v>
      </c>
      <c r="AF137" s="2" t="n">
        <v>0.00510514810631743</v>
      </c>
      <c r="AG137" s="2" t="n">
        <v>0.438282038251173</v>
      </c>
      <c r="AH137" s="2" t="n">
        <v>0.128963997668844</v>
      </c>
      <c r="AI137" s="2" t="n">
        <v>0.432753964079983</v>
      </c>
      <c r="AJ137" s="2" t="n">
        <v>77.2648922156543</v>
      </c>
      <c r="AK137" s="2" t="n">
        <v>0.166355598482758</v>
      </c>
      <c r="AL137" s="2" t="n">
        <v>0.0448518985273999</v>
      </c>
      <c r="AM137" s="2" t="n">
        <v>0.0244167986197937</v>
      </c>
      <c r="AN137" s="2" t="n">
        <v>0.0204350999076062</v>
      </c>
      <c r="AO137" s="2" t="n">
        <v>0.072960249287576</v>
      </c>
      <c r="AP137" s="2" t="n">
        <v>3.33131667014892</v>
      </c>
      <c r="AQ137" s="2" t="n">
        <v>2.5433669173413</v>
      </c>
      <c r="AR137" s="2" t="n">
        <v>4.12925046321685</v>
      </c>
      <c r="AS137" s="2" t="n">
        <v>1098.97644042969</v>
      </c>
      <c r="AT137" s="2" t="n">
        <v>1094.2305480957</v>
      </c>
      <c r="AU137" s="2" t="n">
        <v>1105.22854003906</v>
      </c>
      <c r="AV137" s="2" t="n">
        <v>11.3763168566452</v>
      </c>
      <c r="AW137" s="2" t="n">
        <v>8.74622167181063</v>
      </c>
      <c r="AX137" s="2" t="n">
        <v>14.0013952091684</v>
      </c>
      <c r="AY137" s="2" t="n">
        <v>3.35090411364054</v>
      </c>
      <c r="AZ137" s="2" t="n">
        <v>0.165953917991892</v>
      </c>
      <c r="BA137" s="2" t="n">
        <v>2.90732371916007</v>
      </c>
      <c r="BB137" s="2" t="n">
        <v>3.77140267727415</v>
      </c>
      <c r="BC137" s="2" t="n">
        <v>1454.70351693215</v>
      </c>
      <c r="BD137" s="2" t="n">
        <v>1.53449523640371</v>
      </c>
      <c r="BE137" s="2" t="n">
        <v>3</v>
      </c>
      <c r="BF137" s="2" t="n">
        <v>3</v>
      </c>
      <c r="BG137" s="2" t="n">
        <v>11.4412184542707</v>
      </c>
      <c r="BH137" s="2" t="n">
        <v>0.582642896969918</v>
      </c>
      <c r="BI137" s="2" t="n">
        <v>9.96574776859277</v>
      </c>
      <c r="BJ137" s="2" t="n">
        <v>12.8289032849574</v>
      </c>
      <c r="BK137" s="2" t="n">
        <v>1.40027075076044</v>
      </c>
      <c r="BL137" s="2" t="n">
        <v>0.944341088498677</v>
      </c>
      <c r="BM137" s="2" t="n">
        <v>1.82043755235538</v>
      </c>
      <c r="BN137" s="2" t="n">
        <v>3000</v>
      </c>
      <c r="BO137" s="2" t="n">
        <v>1154.03271484375</v>
      </c>
      <c r="BP137" s="2" t="n">
        <v>1146.77016906738</v>
      </c>
      <c r="BQ137" s="2" t="n">
        <v>1157.06123962402</v>
      </c>
      <c r="BR137" s="2" t="n">
        <v>3000</v>
      </c>
      <c r="BS137" s="2" t="n">
        <v>4.86380095988294</v>
      </c>
      <c r="BT137" s="2" t="n">
        <v>3.29318789628226</v>
      </c>
      <c r="BU137" s="2" t="n">
        <v>6.30006240600089</v>
      </c>
      <c r="BV137" s="2" t="n">
        <v>48.29</v>
      </c>
      <c r="BW137" s="2" t="n">
        <v>3.69</v>
      </c>
      <c r="BX137" s="2" t="n">
        <v>13.65</v>
      </c>
      <c r="BY137" s="2" t="n">
        <v>12.67</v>
      </c>
      <c r="BZ137" s="2" t="n">
        <v>0.18</v>
      </c>
      <c r="CA137" s="2" t="n">
        <v>6.25</v>
      </c>
      <c r="CB137" s="2" t="n">
        <v>11.35</v>
      </c>
      <c r="CC137" s="2" t="n">
        <v>3.11</v>
      </c>
      <c r="CD137" s="2" t="n">
        <v>0.49</v>
      </c>
      <c r="CE137" s="2" t="n">
        <v>0.33</v>
      </c>
      <c r="CF137" s="2" t="n">
        <v>0.15</v>
      </c>
    </row>
    <row r="138" customFormat="false" ht="15" hidden="false" customHeight="false" outlineLevel="0" collapsed="false">
      <c r="A138" s="2" t="s">
        <v>370</v>
      </c>
      <c r="B138" s="2" t="n">
        <v>2009</v>
      </c>
      <c r="C138" s="2" t="s">
        <v>281</v>
      </c>
      <c r="D138" s="2" t="s">
        <v>282</v>
      </c>
      <c r="E138" s="2" t="n">
        <v>69</v>
      </c>
      <c r="F138" s="2" t="s">
        <v>371</v>
      </c>
      <c r="G138" s="2" t="s">
        <v>88</v>
      </c>
      <c r="H138" s="2" t="s">
        <v>89</v>
      </c>
      <c r="I138" s="2" t="n">
        <v>1</v>
      </c>
      <c r="J138" s="2" t="s">
        <v>163</v>
      </c>
      <c r="K138" s="2" t="n">
        <v>51.5524316842913</v>
      </c>
      <c r="L138" s="2" t="n">
        <v>0.9318</v>
      </c>
      <c r="M138" s="2" t="n">
        <v>2.55</v>
      </c>
      <c r="N138" s="2" t="n">
        <v>7.33</v>
      </c>
      <c r="O138" s="2" t="n">
        <v>0.195</v>
      </c>
      <c r="P138" s="2" t="n">
        <v>17.6590109667409</v>
      </c>
      <c r="Q138" s="2" t="n">
        <v>16.9481585761213</v>
      </c>
      <c r="R138" s="2" t="n">
        <v>0.2184</v>
      </c>
      <c r="S138" s="2" t="n">
        <v>0</v>
      </c>
      <c r="T138" s="2" t="n">
        <v>0.5116</v>
      </c>
      <c r="U138" s="2" t="n">
        <v>97.8964012271534</v>
      </c>
      <c r="V138" s="2" t="n">
        <v>2.67314732438441</v>
      </c>
      <c r="W138" s="2" t="n">
        <v>1.9258332195848</v>
      </c>
      <c r="X138" s="2" t="n">
        <v>0.0261872693795107</v>
      </c>
      <c r="Y138" s="2" t="n">
        <v>0.112270186913986</v>
      </c>
      <c r="Z138" s="2" t="n">
        <v>0.229003345128437</v>
      </c>
      <c r="AA138" s="2" t="n">
        <v>0.983437086384172</v>
      </c>
      <c r="AB138" s="2" t="n">
        <v>0.678369171090601</v>
      </c>
      <c r="AC138" s="2" t="n">
        <v>0.0158185408612559</v>
      </c>
      <c r="AD138" s="2" t="n">
        <v>0</v>
      </c>
      <c r="AE138" s="2" t="n">
        <v>0.015109631441623</v>
      </c>
      <c r="AF138" s="2" t="n">
        <v>0.00616989687341902</v>
      </c>
      <c r="AG138" s="2" t="n">
        <v>0.520114285981098</v>
      </c>
      <c r="AH138" s="2" t="n">
        <v>0.121113910577327</v>
      </c>
      <c r="AI138" s="2" t="n">
        <v>0.358771803441575</v>
      </c>
      <c r="AJ138" s="2" t="n">
        <v>81.1121982427839</v>
      </c>
      <c r="AK138" s="2" t="n">
        <v>0.07416016634756</v>
      </c>
      <c r="AL138" s="2" t="n">
        <v>0.0381109667144089</v>
      </c>
      <c r="AM138" s="2" t="n">
        <v>0.015818699693415</v>
      </c>
      <c r="AN138" s="2" t="n">
        <v>0.0222922670209939</v>
      </c>
      <c r="AO138" s="2" t="n">
        <v>0.025933949663283</v>
      </c>
      <c r="AP138" s="2" t="n">
        <v>0.913064898240149</v>
      </c>
      <c r="AQ138" s="2" t="n">
        <v>0.614784057128012</v>
      </c>
      <c r="AR138" s="2" t="n">
        <v>1.2102170181151</v>
      </c>
      <c r="AS138" s="2" t="n">
        <v>1153.11706542969</v>
      </c>
      <c r="AT138" s="2" t="n">
        <v>1150.44248962402</v>
      </c>
      <c r="AU138" s="2" t="n">
        <v>1155.31864624023</v>
      </c>
      <c r="AV138" s="2" t="n">
        <v>3.18498414421807</v>
      </c>
      <c r="AW138" s="2" t="n">
        <v>2.15006709551835</v>
      </c>
      <c r="AX138" s="2" t="n">
        <v>4.21062386949355</v>
      </c>
      <c r="AY138" s="2" t="n">
        <v>1.80238721627214</v>
      </c>
      <c r="AZ138" s="2" t="n">
        <v>0.00634562405304908</v>
      </c>
      <c r="BA138" s="2" t="n">
        <v>1.18023603130315</v>
      </c>
      <c r="BB138" s="2" t="n">
        <v>2.36132858721739</v>
      </c>
      <c r="BC138" s="2" t="n">
        <v>1464.53838789719</v>
      </c>
      <c r="BD138" s="2" t="n">
        <v>0.278808135213574</v>
      </c>
      <c r="BE138" s="2" t="n">
        <v>2</v>
      </c>
      <c r="BF138" s="2" t="n">
        <v>2</v>
      </c>
      <c r="BG138" s="2" t="n">
        <v>6.23858064346656</v>
      </c>
      <c r="BH138" s="2" t="n">
        <v>0.0223093595196932</v>
      </c>
      <c r="BI138" s="2" t="n">
        <v>4.10738526264429</v>
      </c>
      <c r="BJ138" s="2" t="n">
        <v>8.13324623708429</v>
      </c>
      <c r="BK138" s="2" t="n">
        <v>0.255975150067985</v>
      </c>
      <c r="BL138" s="2" t="n">
        <v>0.0168307240973527</v>
      </c>
      <c r="BM138" s="2" t="n">
        <v>0.601561383092019</v>
      </c>
      <c r="BN138" s="2" t="n">
        <v>2000</v>
      </c>
      <c r="BO138" s="2" t="n">
        <v>1163.44708251953</v>
      </c>
      <c r="BP138" s="2" t="n">
        <v>1161.65703125</v>
      </c>
      <c r="BQ138" s="2" t="n">
        <v>1165.16664123535</v>
      </c>
      <c r="BR138" s="2" t="n">
        <v>2000</v>
      </c>
      <c r="BS138" s="2" t="n">
        <v>0.897997674817223</v>
      </c>
      <c r="BT138" s="2" t="n">
        <v>0.059166559673691</v>
      </c>
      <c r="BU138" s="2" t="n">
        <v>2.10406482105511</v>
      </c>
      <c r="BV138" s="2" t="n">
        <v>48.71</v>
      </c>
      <c r="BW138" s="2" t="n">
        <v>3.51</v>
      </c>
      <c r="BX138" s="2" t="n">
        <v>13.85</v>
      </c>
      <c r="BY138" s="2" t="n">
        <v>11.89</v>
      </c>
      <c r="BZ138" s="2" t="n">
        <v>0.2</v>
      </c>
      <c r="CA138" s="2" t="n">
        <v>6.66</v>
      </c>
      <c r="CB138" s="2" t="n">
        <v>11.48</v>
      </c>
      <c r="CC138" s="2" t="n">
        <v>2.98</v>
      </c>
      <c r="CD138" s="2" t="n">
        <v>0.43</v>
      </c>
      <c r="CE138" s="2" t="n">
        <v>0.27</v>
      </c>
      <c r="CF138" s="2" t="n">
        <v>0.15</v>
      </c>
    </row>
    <row r="139" customFormat="false" ht="15" hidden="false" customHeight="false" outlineLevel="0" collapsed="false">
      <c r="A139" s="2" t="s">
        <v>372</v>
      </c>
      <c r="B139" s="2" t="n">
        <v>2009</v>
      </c>
      <c r="C139" s="2" t="s">
        <v>281</v>
      </c>
      <c r="D139" s="2" t="s">
        <v>282</v>
      </c>
      <c r="E139" s="2" t="n">
        <v>70</v>
      </c>
      <c r="F139" s="2" t="s">
        <v>373</v>
      </c>
      <c r="G139" s="2" t="s">
        <v>88</v>
      </c>
      <c r="H139" s="2" t="s">
        <v>94</v>
      </c>
      <c r="I139" s="2" t="n">
        <v>1</v>
      </c>
      <c r="J139" s="2" t="s">
        <v>163</v>
      </c>
      <c r="K139" s="2" t="n">
        <v>47.4811834322349</v>
      </c>
      <c r="L139" s="2" t="n">
        <v>2.51</v>
      </c>
      <c r="M139" s="2" t="n">
        <v>5.97</v>
      </c>
      <c r="N139" s="2" t="n">
        <v>7.33</v>
      </c>
      <c r="O139" s="2" t="n">
        <v>0.1598</v>
      </c>
      <c r="P139" s="2" t="n">
        <v>14.2552147836953</v>
      </c>
      <c r="Q139" s="2" t="n">
        <v>19.7515394201111</v>
      </c>
      <c r="R139" s="2" t="n">
        <v>0.3541</v>
      </c>
      <c r="S139" s="2" t="n">
        <v>0</v>
      </c>
      <c r="T139" s="2" t="n">
        <v>0.6786</v>
      </c>
      <c r="U139" s="2" t="n">
        <v>98.4904376360413</v>
      </c>
      <c r="V139" s="2" t="n">
        <v>2.64830511875248</v>
      </c>
      <c r="W139" s="2" t="n">
        <v>1.79038292728062</v>
      </c>
      <c r="X139" s="2" t="n">
        <v>0.0712026415183722</v>
      </c>
      <c r="Y139" s="2" t="n">
        <v>0.265309909206819</v>
      </c>
      <c r="Z139" s="2" t="n">
        <v>0.231151491937427</v>
      </c>
      <c r="AA139" s="2" t="n">
        <v>0.801325282831014</v>
      </c>
      <c r="AB139" s="2" t="n">
        <v>0.797993600506153</v>
      </c>
      <c r="AC139" s="2" t="n">
        <v>0.0258877668145137</v>
      </c>
      <c r="AD139" s="2" t="n">
        <v>0</v>
      </c>
      <c r="AE139" s="2" t="n">
        <v>0.020229822170936</v>
      </c>
      <c r="AF139" s="2" t="n">
        <v>0.00510358019356109</v>
      </c>
      <c r="AG139" s="2" t="n">
        <v>0.43777014567133</v>
      </c>
      <c r="AH139" s="2" t="n">
        <v>0.126279832255003</v>
      </c>
      <c r="AI139" s="2" t="n">
        <v>0.435950022073667</v>
      </c>
      <c r="AJ139" s="2" t="n">
        <v>77.6119427006706</v>
      </c>
      <c r="AK139" s="2" t="n">
        <v>0.209606927007258</v>
      </c>
      <c r="AL139" s="2" t="n">
        <v>0.0557058103558112</v>
      </c>
      <c r="AM139" s="2" t="n">
        <v>0.0258880845426073</v>
      </c>
      <c r="AN139" s="2" t="n">
        <v>0.0298177258132039</v>
      </c>
      <c r="AO139" s="2" t="n">
        <v>0.0898946005970271</v>
      </c>
      <c r="AP139" s="2" t="n">
        <v>3.0866607740475</v>
      </c>
      <c r="AQ139" s="2" t="n">
        <v>2.68542956858409</v>
      </c>
      <c r="AR139" s="2" t="n">
        <v>3.67152399569286</v>
      </c>
      <c r="AS139" s="2" t="n">
        <v>1131.9833984375</v>
      </c>
      <c r="AT139" s="2" t="n">
        <v>1127.34141540527</v>
      </c>
      <c r="AU139" s="2" t="n">
        <v>1135.49231872559</v>
      </c>
      <c r="AV139" s="2" t="n">
        <v>10.5637081310321</v>
      </c>
      <c r="AW139" s="2" t="n">
        <v>9.22319240155969</v>
      </c>
      <c r="AX139" s="2" t="n">
        <v>12.5002645363928</v>
      </c>
      <c r="AY139" s="2" t="n">
        <v>4.04087892205922</v>
      </c>
      <c r="AZ139" s="2" t="n">
        <v>0.166797794544925</v>
      </c>
      <c r="BA139" s="2" t="n">
        <v>3.59937777439948</v>
      </c>
      <c r="BB139" s="2" t="n">
        <v>4.48205767238</v>
      </c>
      <c r="BC139" s="2" t="n">
        <v>1463.92641420149</v>
      </c>
      <c r="BD139" s="2" t="n">
        <v>1.56128061108828</v>
      </c>
      <c r="BE139" s="2" t="n">
        <v>3</v>
      </c>
      <c r="BF139" s="2" t="n">
        <v>3</v>
      </c>
      <c r="BG139" s="2" t="n">
        <v>13.7125665174469</v>
      </c>
      <c r="BH139" s="2" t="n">
        <v>0.585601374261272</v>
      </c>
      <c r="BI139" s="2" t="n">
        <v>12.2625000500171</v>
      </c>
      <c r="BJ139" s="2" t="n">
        <v>15.1497746886711</v>
      </c>
      <c r="BK139" s="2" t="n">
        <v>2.12506812365064</v>
      </c>
      <c r="BL139" s="2" t="n">
        <v>1.7240660681983</v>
      </c>
      <c r="BM139" s="2" t="n">
        <v>2.91516369493615</v>
      </c>
      <c r="BN139" s="2" t="n">
        <v>3000</v>
      </c>
      <c r="BO139" s="2" t="n">
        <v>1157.47314453125</v>
      </c>
      <c r="BP139" s="2" t="n">
        <v>1150.58686828613</v>
      </c>
      <c r="BQ139" s="2" t="n">
        <v>1161.77190856934</v>
      </c>
      <c r="BR139" s="2" t="n">
        <v>3000</v>
      </c>
      <c r="BS139" s="2" t="n">
        <v>7.33469480567957</v>
      </c>
      <c r="BT139" s="2" t="n">
        <v>5.97158005381077</v>
      </c>
      <c r="BU139" s="2" t="n">
        <v>9.9919292001673</v>
      </c>
      <c r="BV139" s="2" t="n">
        <v>48.29</v>
      </c>
      <c r="BW139" s="2" t="n">
        <v>3.69</v>
      </c>
      <c r="BX139" s="2" t="n">
        <v>13.65</v>
      </c>
      <c r="BY139" s="2" t="n">
        <v>12.67</v>
      </c>
      <c r="BZ139" s="2" t="n">
        <v>0.18</v>
      </c>
      <c r="CA139" s="2" t="n">
        <v>6.25</v>
      </c>
      <c r="CB139" s="2" t="n">
        <v>11.35</v>
      </c>
      <c r="CC139" s="2" t="n">
        <v>3.11</v>
      </c>
      <c r="CD139" s="2" t="n">
        <v>0.49</v>
      </c>
      <c r="CE139" s="2" t="n">
        <v>0.33</v>
      </c>
      <c r="CF139" s="2" t="n">
        <v>0.15</v>
      </c>
    </row>
    <row r="140" customFormat="false" ht="15" hidden="false" customHeight="false" outlineLevel="0" collapsed="false">
      <c r="A140" s="2" t="s">
        <v>374</v>
      </c>
      <c r="B140" s="2" t="n">
        <v>2009</v>
      </c>
      <c r="C140" s="2" t="s">
        <v>281</v>
      </c>
      <c r="D140" s="2" t="s">
        <v>282</v>
      </c>
      <c r="E140" s="2" t="n">
        <v>71</v>
      </c>
      <c r="F140" s="2" t="s">
        <v>375</v>
      </c>
      <c r="G140" s="2" t="s">
        <v>93</v>
      </c>
      <c r="H140" s="2" t="s">
        <v>94</v>
      </c>
      <c r="I140" s="2" t="n">
        <v>1</v>
      </c>
      <c r="J140" s="2" t="s">
        <v>163</v>
      </c>
      <c r="K140" s="2" t="n">
        <v>49.1156993560901</v>
      </c>
      <c r="L140" s="2" t="n">
        <v>2.04</v>
      </c>
      <c r="M140" s="2" t="n">
        <v>4.08</v>
      </c>
      <c r="N140" s="2" t="n">
        <v>8.62</v>
      </c>
      <c r="O140" s="2" t="n">
        <v>0.2082</v>
      </c>
      <c r="P140" s="2" t="n">
        <v>14.7691783099101</v>
      </c>
      <c r="Q140" s="2" t="n">
        <v>19.1121718592012</v>
      </c>
      <c r="R140" s="2" t="n">
        <v>0.3452</v>
      </c>
      <c r="S140" s="2" t="n">
        <v>0</v>
      </c>
      <c r="T140" s="2" t="n">
        <v>0.0798</v>
      </c>
      <c r="U140" s="2" t="n">
        <v>98.3702495252013</v>
      </c>
      <c r="V140" s="2" t="n">
        <v>2.59227341110613</v>
      </c>
      <c r="W140" s="2" t="n">
        <v>1.89204708496581</v>
      </c>
      <c r="X140" s="2" t="n">
        <v>0.0591207270459216</v>
      </c>
      <c r="Y140" s="2" t="n">
        <v>0.185236479128458</v>
      </c>
      <c r="Z140" s="2" t="n">
        <v>0.277707242853374</v>
      </c>
      <c r="AA140" s="2" t="n">
        <v>0.848161644058189</v>
      </c>
      <c r="AB140" s="2" t="n">
        <v>0.788852334848734</v>
      </c>
      <c r="AC140" s="2" t="n">
        <v>0.0257825971535324</v>
      </c>
      <c r="AD140" s="2" t="n">
        <v>0</v>
      </c>
      <c r="AE140" s="2" t="n">
        <v>0.00243034716846135</v>
      </c>
      <c r="AF140" s="2" t="n">
        <v>0.00679307028594636</v>
      </c>
      <c r="AG140" s="2" t="n">
        <v>0.442968738435161</v>
      </c>
      <c r="AH140" s="2" t="n">
        <v>0.145037951059039</v>
      </c>
      <c r="AI140" s="2" t="n">
        <v>0.4119933105058</v>
      </c>
      <c r="AJ140" s="2" t="n">
        <v>75.3339624105637</v>
      </c>
      <c r="AK140" s="2"/>
      <c r="AL140" s="2"/>
      <c r="AM140" s="2"/>
      <c r="AN140" s="2"/>
      <c r="AO140" s="2"/>
      <c r="AP140" s="2" t="n">
        <v>2.45834034215031</v>
      </c>
      <c r="AQ140" s="2" t="n">
        <v>1.95973534117757</v>
      </c>
      <c r="AR140" s="2" t="n">
        <v>2.76475150714932</v>
      </c>
      <c r="AS140" s="2" t="n">
        <v>1106.37377929688</v>
      </c>
      <c r="AT140" s="2" t="n">
        <v>1102.8368347168</v>
      </c>
      <c r="AU140" s="2" t="n">
        <v>1110.69125671387</v>
      </c>
      <c r="AV140" s="2" t="n">
        <v>8.46016266065962</v>
      </c>
      <c r="AW140" s="2" t="n">
        <v>6.77386443904016</v>
      </c>
      <c r="AX140" s="2" t="n">
        <v>9.48898114182888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</row>
    <row r="141" customFormat="false" ht="15" hidden="false" customHeight="false" outlineLevel="0" collapsed="false">
      <c r="A141" s="2" t="s">
        <v>376</v>
      </c>
      <c r="B141" s="2" t="n">
        <v>2009</v>
      </c>
      <c r="C141" s="2" t="s">
        <v>281</v>
      </c>
      <c r="D141" s="2" t="s">
        <v>282</v>
      </c>
      <c r="E141" s="2" t="n">
        <v>72</v>
      </c>
      <c r="F141" s="2" t="s">
        <v>377</v>
      </c>
      <c r="G141" s="2" t="s">
        <v>97</v>
      </c>
      <c r="H141" s="2" t="s">
        <v>94</v>
      </c>
      <c r="I141" s="2" t="n">
        <v>1</v>
      </c>
      <c r="J141" s="2" t="s">
        <v>163</v>
      </c>
      <c r="K141" s="2" t="n">
        <v>47.300684741257</v>
      </c>
      <c r="L141" s="2" t="n">
        <v>3.08</v>
      </c>
      <c r="M141" s="2" t="n">
        <v>4.97</v>
      </c>
      <c r="N141" s="2" t="n">
        <v>10.81</v>
      </c>
      <c r="O141" s="2" t="n">
        <v>0.2471</v>
      </c>
      <c r="P141" s="2" t="n">
        <v>13.5860924571136</v>
      </c>
      <c r="Q141" s="2" t="n">
        <v>17.6367082571012</v>
      </c>
      <c r="R141" s="2" t="n">
        <v>0.3454</v>
      </c>
      <c r="S141" s="2" t="n">
        <v>0.0005</v>
      </c>
      <c r="T141" s="2" t="n">
        <v>0.0185</v>
      </c>
      <c r="U141" s="2" t="n">
        <v>97.9949854554719</v>
      </c>
      <c r="V141" s="2" t="n">
        <v>2.53220826134253</v>
      </c>
      <c r="W141" s="2" t="n">
        <v>1.86535037751227</v>
      </c>
      <c r="X141" s="2" t="n">
        <v>0.0913780107111066</v>
      </c>
      <c r="Y141" s="2" t="n">
        <v>0.230995823214682</v>
      </c>
      <c r="Z141" s="2" t="n">
        <v>0.356522562052152</v>
      </c>
      <c r="AA141" s="2" t="n">
        <v>0.798726777769468</v>
      </c>
      <c r="AB141" s="2" t="n">
        <v>0.745220148248581</v>
      </c>
      <c r="AC141" s="2" t="n">
        <v>0.0264094643732468</v>
      </c>
      <c r="AD141" s="2" t="n">
        <v>2.515498012844E-005</v>
      </c>
      <c r="AE141" s="2" t="n">
        <v>0.000576791081852544</v>
      </c>
      <c r="AF141" s="2" t="n">
        <v>0.00825352578377658</v>
      </c>
      <c r="AG141" s="2" t="n">
        <v>0.42027866418446</v>
      </c>
      <c r="AH141" s="2" t="n">
        <v>0.18759709865912</v>
      </c>
      <c r="AI141" s="2" t="n">
        <v>0.392124237156421</v>
      </c>
      <c r="AJ141" s="2" t="n">
        <v>69.1389079601463</v>
      </c>
      <c r="AK141" s="2"/>
      <c r="AL141" s="2"/>
      <c r="AM141" s="2"/>
      <c r="AN141" s="2"/>
      <c r="AO141" s="2"/>
      <c r="AP141" s="2" t="n">
        <v>3.70188948062586</v>
      </c>
      <c r="AQ141" s="2" t="n">
        <v>3.59515217689203</v>
      </c>
      <c r="AR141" s="2" t="n">
        <v>3.87515635636972</v>
      </c>
      <c r="AS141" s="2" t="n">
        <v>1093.69494628906</v>
      </c>
      <c r="AT141" s="2" t="n">
        <v>1091.11589660645</v>
      </c>
      <c r="AU141" s="2" t="n">
        <v>1097.17204284668</v>
      </c>
      <c r="AV141" s="2" t="n">
        <v>12.6002424574114</v>
      </c>
      <c r="AW141" s="2" t="n">
        <v>12.2485644277318</v>
      </c>
      <c r="AX141" s="2" t="n">
        <v>13.169652078735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</row>
    <row r="142" customFormat="false" ht="15" hidden="false" customHeight="false" outlineLevel="0" collapsed="false">
      <c r="A142" s="2" t="s">
        <v>378</v>
      </c>
      <c r="B142" s="2" t="n">
        <v>2009</v>
      </c>
      <c r="C142" s="2" t="s">
        <v>281</v>
      </c>
      <c r="D142" s="2" t="s">
        <v>282</v>
      </c>
      <c r="E142" s="2" t="n">
        <v>73</v>
      </c>
      <c r="F142" s="2" t="s">
        <v>379</v>
      </c>
      <c r="G142" s="2" t="s">
        <v>93</v>
      </c>
      <c r="H142" s="2" t="s">
        <v>108</v>
      </c>
      <c r="I142" s="2" t="n">
        <v>1</v>
      </c>
      <c r="J142" s="2" t="s">
        <v>163</v>
      </c>
      <c r="K142" s="2" t="n">
        <v>49.9780819907621</v>
      </c>
      <c r="L142" s="2" t="n">
        <v>1.386</v>
      </c>
      <c r="M142" s="2" t="n">
        <v>2.62</v>
      </c>
      <c r="N142" s="2" t="n">
        <v>8.4</v>
      </c>
      <c r="O142" s="2" t="n">
        <v>0.2122</v>
      </c>
      <c r="P142" s="2" t="n">
        <v>15.9619615877295</v>
      </c>
      <c r="Q142" s="2" t="n">
        <v>18.0006559456192</v>
      </c>
      <c r="R142" s="2" t="n">
        <v>0.2951</v>
      </c>
      <c r="S142" s="2" t="n">
        <v>0</v>
      </c>
      <c r="T142" s="2" t="n">
        <v>0.0483</v>
      </c>
      <c r="U142" s="2" t="n">
        <v>96.9022995241108</v>
      </c>
      <c r="V142" s="2" t="n">
        <v>2.5833592625641</v>
      </c>
      <c r="W142" s="2" t="n">
        <v>1.93191133805104</v>
      </c>
      <c r="X142" s="2" t="n">
        <v>0.04030591897974</v>
      </c>
      <c r="Y142" s="2" t="n">
        <v>0.119361328614507</v>
      </c>
      <c r="Z142" s="2" t="n">
        <v>0.271553387900394</v>
      </c>
      <c r="AA142" s="2" t="n">
        <v>0.9198236140474</v>
      </c>
      <c r="AB142" s="2" t="n">
        <v>0.745538375305117</v>
      </c>
      <c r="AC142" s="2" t="n">
        <v>0.0221167385429828</v>
      </c>
      <c r="AD142" s="2" t="n">
        <v>0</v>
      </c>
      <c r="AE142" s="2" t="n">
        <v>0.00147607543835492</v>
      </c>
      <c r="AF142" s="2" t="n">
        <v>0.00694747129422903</v>
      </c>
      <c r="AG142" s="2" t="n">
        <v>0.474890965733344</v>
      </c>
      <c r="AH142" s="2" t="n">
        <v>0.140198891025137</v>
      </c>
      <c r="AI142" s="2" t="n">
        <v>0.384910143241518</v>
      </c>
      <c r="AJ142" s="2" t="n">
        <v>77.2067626405052</v>
      </c>
      <c r="AK142" s="2"/>
      <c r="AL142" s="2"/>
      <c r="AM142" s="2"/>
      <c r="AN142" s="2"/>
      <c r="AO142" s="2"/>
      <c r="AP142" s="2" t="n">
        <v>0</v>
      </c>
      <c r="AQ142" s="2" t="n">
        <v>0</v>
      </c>
      <c r="AR142" s="2" t="n">
        <v>0.078653350949246</v>
      </c>
      <c r="AS142" s="2" t="n">
        <v>1111.99365234375</v>
      </c>
      <c r="AT142" s="2" t="n">
        <v>1107.50118713379</v>
      </c>
      <c r="AU142" s="2" t="n">
        <v>1115.1357208252</v>
      </c>
      <c r="AV142" s="2" t="n">
        <v>0</v>
      </c>
      <c r="AW142" s="2" t="n">
        <v>0</v>
      </c>
      <c r="AX142" s="2" t="n">
        <v>0.276349870209103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</row>
    <row r="143" customFormat="false" ht="15" hidden="false" customHeight="false" outlineLevel="0" collapsed="false">
      <c r="A143" s="2" t="s">
        <v>380</v>
      </c>
      <c r="B143" s="2" t="n">
        <v>2009</v>
      </c>
      <c r="C143" s="2" t="s">
        <v>281</v>
      </c>
      <c r="D143" s="2" t="s">
        <v>282</v>
      </c>
      <c r="E143" s="2" t="n">
        <v>74</v>
      </c>
      <c r="F143" s="2" t="s">
        <v>381</v>
      </c>
      <c r="G143" s="2" t="s">
        <v>93</v>
      </c>
      <c r="H143" s="2" t="s">
        <v>108</v>
      </c>
      <c r="I143" s="2" t="n">
        <v>1</v>
      </c>
      <c r="J143" s="2" t="s">
        <v>163</v>
      </c>
      <c r="K143" s="2" t="n">
        <v>48.0728180304401</v>
      </c>
      <c r="L143" s="2" t="n">
        <v>1.88</v>
      </c>
      <c r="M143" s="2" t="n">
        <v>4.7</v>
      </c>
      <c r="N143" s="2" t="n">
        <v>6.53</v>
      </c>
      <c r="O143" s="2" t="n">
        <v>0.1231</v>
      </c>
      <c r="P143" s="2" t="n">
        <v>14.3521890339245</v>
      </c>
      <c r="Q143" s="2" t="n">
        <v>20.2236877727831</v>
      </c>
      <c r="R143" s="2" t="n">
        <v>0.3189</v>
      </c>
      <c r="S143" s="2" t="n">
        <v>0</v>
      </c>
      <c r="T143" s="2" t="n">
        <v>0.6564</v>
      </c>
      <c r="U143" s="2" t="n">
        <v>96.8570948371477</v>
      </c>
      <c r="V143" s="2" t="n">
        <v>2.61302187881875</v>
      </c>
      <c r="W143" s="2" t="n">
        <v>1.83716832091337</v>
      </c>
      <c r="X143" s="2" t="n">
        <v>0.0540511834540925</v>
      </c>
      <c r="Y143" s="2" t="n">
        <v>0.211690793906879</v>
      </c>
      <c r="Z143" s="2" t="n">
        <v>0.208704052182702</v>
      </c>
      <c r="AA143" s="2" t="n">
        <v>0.817670256174745</v>
      </c>
      <c r="AB143" s="2" t="n">
        <v>0.82810190604736</v>
      </c>
      <c r="AC143" s="2" t="n">
        <v>0.0236291529988754</v>
      </c>
      <c r="AD143" s="2" t="n">
        <v>0</v>
      </c>
      <c r="AE143" s="2" t="n">
        <v>0.0198322393914001</v>
      </c>
      <c r="AF143" s="2" t="n">
        <v>0.00398456756242341</v>
      </c>
      <c r="AG143" s="2" t="n">
        <v>0.4409170901322</v>
      </c>
      <c r="AH143" s="2" t="n">
        <v>0.112540700474654</v>
      </c>
      <c r="AI143" s="2" t="n">
        <v>0.446542209393146</v>
      </c>
      <c r="AJ143" s="2" t="n">
        <v>79.6658927953195</v>
      </c>
      <c r="AK143" s="2" t="n">
        <v>0.162823047633994</v>
      </c>
      <c r="AL143" s="2" t="n">
        <v>0.0488697978256295</v>
      </c>
      <c r="AM143" s="2" t="n">
        <v>0.0236294201202697</v>
      </c>
      <c r="AN143" s="2" t="n">
        <v>0.0252403777053598</v>
      </c>
      <c r="AO143" s="2" t="n">
        <v>0.068791334964317</v>
      </c>
      <c r="AP143" s="2" t="n">
        <v>2.60252939519897</v>
      </c>
      <c r="AQ143" s="2" t="n">
        <v>2.0609485333921</v>
      </c>
      <c r="AR143" s="2" t="n">
        <v>3.02026464400306</v>
      </c>
      <c r="AS143" s="2" t="n">
        <v>1116.20751953125</v>
      </c>
      <c r="AT143" s="2" t="n">
        <v>1109.14993591309</v>
      </c>
      <c r="AU143" s="2" t="n">
        <v>1120.88434143066</v>
      </c>
      <c r="AV143" s="2" t="n">
        <v>8.94500637521794</v>
      </c>
      <c r="AW143" s="2" t="n">
        <v>7.11738943017735</v>
      </c>
      <c r="AX143" s="2" t="n">
        <v>10.3425519067</v>
      </c>
      <c r="AY143" s="2" t="n">
        <v>3.40430804284322</v>
      </c>
      <c r="AZ143" s="2" t="n">
        <v>0.162299176674325</v>
      </c>
      <c r="BA143" s="2" t="n">
        <v>2.84951425557229</v>
      </c>
      <c r="BB143" s="2" t="n">
        <v>3.95811618822268</v>
      </c>
      <c r="BC143" s="2" t="n">
        <v>1456.10786660285</v>
      </c>
      <c r="BD143" s="2" t="n">
        <v>3.2102758482523</v>
      </c>
      <c r="BE143" s="2" t="n">
        <v>74</v>
      </c>
      <c r="BF143" s="2" t="n">
        <v>74</v>
      </c>
      <c r="BG143" s="2" t="n">
        <v>11.6180504563403</v>
      </c>
      <c r="BH143" s="2" t="n">
        <v>0.569829542279961</v>
      </c>
      <c r="BI143" s="2" t="n">
        <v>9.77257930693752</v>
      </c>
      <c r="BJ143" s="2" t="n">
        <v>13.4416401882602</v>
      </c>
      <c r="BK143" s="2" t="n">
        <v>1.78993600282237</v>
      </c>
      <c r="BL143" s="2" t="n">
        <v>1.22945145525157</v>
      </c>
      <c r="BM143" s="2" t="n">
        <v>2.29233858039827</v>
      </c>
      <c r="BN143" s="2" t="n">
        <v>74000</v>
      </c>
      <c r="BO143" s="2" t="n">
        <v>1160.49938964844</v>
      </c>
      <c r="BP143" s="2" t="n">
        <v>1149.73910217285</v>
      </c>
      <c r="BQ143" s="2" t="n">
        <v>1164.98742675781</v>
      </c>
      <c r="BR143" s="2" t="n">
        <v>74000</v>
      </c>
      <c r="BS143" s="2" t="n">
        <v>6.19615870422893</v>
      </c>
      <c r="BT143" s="2" t="n">
        <v>4.27682837983014</v>
      </c>
      <c r="BU143" s="2" t="n">
        <v>7.90041228495666</v>
      </c>
      <c r="BV143" s="2" t="n">
        <v>48.77</v>
      </c>
      <c r="BW143" s="2" t="n">
        <v>3.43</v>
      </c>
      <c r="BX143" s="2" t="n">
        <v>13.84</v>
      </c>
      <c r="BY143" s="2" t="n">
        <v>11.98</v>
      </c>
      <c r="BZ143" s="2" t="n">
        <v>0.17</v>
      </c>
      <c r="CA143" s="2" t="n">
        <v>6.53</v>
      </c>
      <c r="CB143" s="2" t="n">
        <v>11.6</v>
      </c>
      <c r="CC143" s="2" t="n">
        <v>2.96</v>
      </c>
      <c r="CD143" s="2" t="n">
        <v>0.45</v>
      </c>
      <c r="CE143" s="2" t="n">
        <v>0.27</v>
      </c>
      <c r="CF143" s="2" t="n">
        <v>0.15</v>
      </c>
    </row>
    <row r="144" customFormat="false" ht="15" hidden="false" customHeight="false" outlineLevel="0" collapsed="false">
      <c r="A144" s="2" t="s">
        <v>382</v>
      </c>
      <c r="B144" s="2" t="n">
        <v>2009</v>
      </c>
      <c r="C144" s="2" t="s">
        <v>281</v>
      </c>
      <c r="D144" s="2" t="s">
        <v>282</v>
      </c>
      <c r="E144" s="2" t="n">
        <v>75</v>
      </c>
      <c r="F144" s="2" t="s">
        <v>383</v>
      </c>
      <c r="G144" s="2" t="s">
        <v>97</v>
      </c>
      <c r="H144" s="2" t="s">
        <v>108</v>
      </c>
      <c r="I144" s="2" t="n">
        <v>1</v>
      </c>
      <c r="J144" s="2" t="s">
        <v>163</v>
      </c>
      <c r="K144" s="2" t="n">
        <v>48.3836768871242</v>
      </c>
      <c r="L144" s="2" t="n">
        <v>2.33</v>
      </c>
      <c r="M144" s="2" t="n">
        <v>4.22</v>
      </c>
      <c r="N144" s="2" t="n">
        <v>8.39</v>
      </c>
      <c r="O144" s="2" t="n">
        <v>0.1817</v>
      </c>
      <c r="P144" s="2" t="n">
        <v>13.9061074828701</v>
      </c>
      <c r="Q144" s="2" t="n">
        <v>19.6728480279991</v>
      </c>
      <c r="R144" s="2" t="n">
        <v>0.3426</v>
      </c>
      <c r="S144" s="2" t="n">
        <v>0</v>
      </c>
      <c r="T144" s="2" t="n">
        <v>0.0509</v>
      </c>
      <c r="U144" s="2" t="n">
        <v>97.4778323979934</v>
      </c>
      <c r="V144" s="2" t="n">
        <v>2.55642300329689</v>
      </c>
      <c r="W144" s="2" t="n">
        <v>1.88998590517293</v>
      </c>
      <c r="X144" s="2" t="n">
        <v>0.0684720938096473</v>
      </c>
      <c r="Y144" s="2" t="n">
        <v>0.19427946282484</v>
      </c>
      <c r="Z144" s="2" t="n">
        <v>0.274087980040896</v>
      </c>
      <c r="AA144" s="2" t="n">
        <v>0.809796630285724</v>
      </c>
      <c r="AB144" s="2" t="n">
        <v>0.823381299051079</v>
      </c>
      <c r="AC144" s="2" t="n">
        <v>0.0259472492123422</v>
      </c>
      <c r="AD144" s="2" t="n">
        <v>0</v>
      </c>
      <c r="AE144" s="2" t="n">
        <v>0.00157192309721682</v>
      </c>
      <c r="AF144" s="2" t="n">
        <v>0.00601157678718641</v>
      </c>
      <c r="AG144" s="2" t="n">
        <v>0.424585070337646</v>
      </c>
      <c r="AH144" s="2" t="n">
        <v>0.143707271593988</v>
      </c>
      <c r="AI144" s="2" t="n">
        <v>0.431707658068366</v>
      </c>
      <c r="AJ144" s="2" t="n">
        <v>74.712439181298</v>
      </c>
      <c r="AK144" s="2"/>
      <c r="AL144" s="2"/>
      <c r="AM144" s="2"/>
      <c r="AN144" s="2"/>
      <c r="AO144" s="2"/>
      <c r="AP144" s="2" t="n">
        <v>2.37211580888996</v>
      </c>
      <c r="AQ144" s="2" t="n">
        <v>2.11726362721691</v>
      </c>
      <c r="AR144" s="2" t="n">
        <v>2.5317115010477</v>
      </c>
      <c r="AS144" s="2" t="n">
        <v>1101.384765625</v>
      </c>
      <c r="AT144" s="2" t="n">
        <v>1099.38507995606</v>
      </c>
      <c r="AU144" s="2" t="n">
        <v>1104.61459350586</v>
      </c>
      <c r="AV144" s="2" t="n">
        <v>8.1696258901294</v>
      </c>
      <c r="AW144" s="2" t="n">
        <v>7.30825818733772</v>
      </c>
      <c r="AX144" s="2" t="n">
        <v>8.70703470386014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</row>
    <row r="145" customFormat="false" ht="15" hidden="false" customHeight="false" outlineLevel="0" collapsed="false">
      <c r="A145" s="2" t="s">
        <v>384</v>
      </c>
      <c r="B145" s="2" t="n">
        <v>2009</v>
      </c>
      <c r="C145" s="2" t="s">
        <v>281</v>
      </c>
      <c r="D145" s="2" t="s">
        <v>282</v>
      </c>
      <c r="E145" s="2" t="n">
        <v>76</v>
      </c>
      <c r="F145" s="2" t="s">
        <v>385</v>
      </c>
      <c r="G145" s="2" t="s">
        <v>97</v>
      </c>
      <c r="H145" s="2" t="s">
        <v>108</v>
      </c>
      <c r="I145" s="2" t="n">
        <v>1</v>
      </c>
      <c r="J145" s="2" t="s">
        <v>163</v>
      </c>
      <c r="K145" s="2" t="n">
        <v>46.8494380138123</v>
      </c>
      <c r="L145" s="2" t="n">
        <v>3.21</v>
      </c>
      <c r="M145" s="2" t="n">
        <v>3.77</v>
      </c>
      <c r="N145" s="2" t="n">
        <v>14.21</v>
      </c>
      <c r="O145" s="2" t="n">
        <v>0.3288</v>
      </c>
      <c r="P145" s="2" t="n">
        <v>11.5011460771854</v>
      </c>
      <c r="Q145" s="2" t="n">
        <v>16.8104486399253</v>
      </c>
      <c r="R145" s="2" t="n">
        <v>0.4585</v>
      </c>
      <c r="S145" s="2" t="n">
        <v>0.0129</v>
      </c>
      <c r="T145" s="2" t="n">
        <v>0.0086</v>
      </c>
      <c r="U145" s="2" t="n">
        <v>97.159832730923</v>
      </c>
      <c r="V145" s="2" t="n">
        <v>2.46565273874154</v>
      </c>
      <c r="W145" s="2" t="n">
        <v>1.89742617693174</v>
      </c>
      <c r="X145" s="2" t="n">
        <v>0.0978055558863728</v>
      </c>
      <c r="Y145" s="2" t="n">
        <v>0.17995196745844</v>
      </c>
      <c r="Z145" s="2" t="n">
        <v>0.481307814981323</v>
      </c>
      <c r="AA145" s="2" t="n">
        <v>0.694404152085255</v>
      </c>
      <c r="AB145" s="2" t="n">
        <v>0.729480810550022</v>
      </c>
      <c r="AC145" s="2" t="n">
        <v>0.0360034493202082</v>
      </c>
      <c r="AD145" s="2" t="n">
        <v>0.00066651694512889</v>
      </c>
      <c r="AE145" s="2" t="n">
        <v>0.000275367556142186</v>
      </c>
      <c r="AF145" s="2" t="n">
        <v>0.0112788828653756</v>
      </c>
      <c r="AG145" s="2" t="n">
        <v>0.364479731522999</v>
      </c>
      <c r="AH145" s="2" t="n">
        <v>0.252629455998379</v>
      </c>
      <c r="AI145" s="2" t="n">
        <v>0.382890812478622</v>
      </c>
      <c r="AJ145" s="2" t="n">
        <v>59.0624380406543</v>
      </c>
      <c r="AK145" s="2"/>
      <c r="AL145" s="2"/>
      <c r="AM145" s="2"/>
      <c r="AN145" s="2"/>
      <c r="AO145" s="2"/>
      <c r="AP145" s="2" t="n">
        <v>3.16861389465281</v>
      </c>
      <c r="AQ145" s="2" t="n">
        <v>2.90546639151522</v>
      </c>
      <c r="AR145" s="2" t="n">
        <v>3.5238456208224</v>
      </c>
      <c r="AS145" s="2" t="n">
        <v>1047.61010742188</v>
      </c>
      <c r="AT145" s="2" t="n">
        <v>1042.72071838379</v>
      </c>
      <c r="AU145" s="2" t="n">
        <v>1053.12062072754</v>
      </c>
      <c r="AV145" s="2" t="n">
        <v>10.8363141376042</v>
      </c>
      <c r="AW145" s="2" t="n">
        <v>9.95954471687596</v>
      </c>
      <c r="AX145" s="2" t="n">
        <v>12.01323893308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2" min="10" style="0" width="9"/>
    <col collapsed="false" customWidth="true" hidden="false" outlineLevel="0" max="14" min="13" style="0" width="10"/>
    <col collapsed="false" customWidth="true" hidden="false" outlineLevel="0" max="15" min="15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  <c r="O1" s="1" t="s">
        <v>395</v>
      </c>
    </row>
    <row r="2" customFormat="false" ht="15" hidden="false" customHeight="false" outlineLevel="0" collapsed="false">
      <c r="A2" s="2" t="s">
        <v>84</v>
      </c>
      <c r="B2" s="2" t="n">
        <v>2009</v>
      </c>
      <c r="C2" s="2" t="s">
        <v>85</v>
      </c>
      <c r="D2" s="2" t="s">
        <v>86</v>
      </c>
      <c r="E2" s="2" t="n">
        <v>92</v>
      </c>
      <c r="F2" s="2" t="n">
        <v>0.18</v>
      </c>
      <c r="G2" s="2" t="n">
        <v>1.53</v>
      </c>
      <c r="H2" s="2" t="n">
        <v>0.72</v>
      </c>
      <c r="I2" s="2" t="n">
        <v>0.86</v>
      </c>
      <c r="J2" s="2" t="n">
        <v>6.46</v>
      </c>
      <c r="K2" s="2" t="n">
        <v>0.2</v>
      </c>
      <c r="L2" s="2" t="n">
        <v>0.24</v>
      </c>
      <c r="M2" s="2" t="n">
        <v>4.53</v>
      </c>
      <c r="N2" s="2" t="n">
        <v>100</v>
      </c>
      <c r="O2" s="2" t="n">
        <v>3.2</v>
      </c>
    </row>
    <row r="3" customFormat="false" ht="15" hidden="false" customHeight="false" outlineLevel="0" collapsed="false">
      <c r="A3" s="2" t="s">
        <v>91</v>
      </c>
      <c r="B3" s="2" t="n">
        <v>2009</v>
      </c>
      <c r="C3" s="2" t="s">
        <v>85</v>
      </c>
      <c r="D3" s="2" t="s">
        <v>86</v>
      </c>
      <c r="E3" s="2" t="n">
        <v>93</v>
      </c>
      <c r="F3" s="2" t="n">
        <v>0.19</v>
      </c>
      <c r="G3" s="2" t="n">
        <v>1.08</v>
      </c>
      <c r="H3" s="2" t="n">
        <v>0.44</v>
      </c>
      <c r="I3" s="2" t="n">
        <v>0.91</v>
      </c>
      <c r="J3" s="2" t="n">
        <v>7.37</v>
      </c>
      <c r="K3" s="2" t="n">
        <v>0.22</v>
      </c>
      <c r="L3" s="2" t="n">
        <v>0.23</v>
      </c>
      <c r="M3" s="2" t="n">
        <v>3.03</v>
      </c>
      <c r="N3" s="2" t="n">
        <v>153.6</v>
      </c>
      <c r="O3" s="2" t="n">
        <v>1.83</v>
      </c>
    </row>
    <row r="4" customFormat="false" ht="15" hidden="false" customHeight="false" outlineLevel="0" collapsed="false">
      <c r="A4" s="2" t="s">
        <v>95</v>
      </c>
      <c r="B4" s="2" t="n">
        <v>2009</v>
      </c>
      <c r="C4" s="2" t="s">
        <v>85</v>
      </c>
      <c r="D4" s="2" t="s">
        <v>86</v>
      </c>
      <c r="E4" s="2" t="n">
        <v>95</v>
      </c>
      <c r="F4" s="2" t="n">
        <v>0.18</v>
      </c>
      <c r="G4" s="2" t="n">
        <v>1.11</v>
      </c>
      <c r="H4" s="2" t="n">
        <v>0.48</v>
      </c>
      <c r="I4" s="2" t="n">
        <v>0.89</v>
      </c>
      <c r="J4" s="2" t="n">
        <v>7.63</v>
      </c>
      <c r="K4" s="2" t="n">
        <v>0.21</v>
      </c>
      <c r="L4" s="2" t="n">
        <v>0.23</v>
      </c>
      <c r="M4" s="2" t="n">
        <v>3.46</v>
      </c>
      <c r="N4" s="2" t="n">
        <v>100</v>
      </c>
      <c r="O4" s="2" t="n">
        <v>3.26</v>
      </c>
    </row>
    <row r="5" customFormat="false" ht="15" hidden="false" customHeight="false" outlineLevel="0" collapsed="false">
      <c r="A5" s="2" t="s">
        <v>98</v>
      </c>
      <c r="B5" s="2" t="n">
        <v>2009</v>
      </c>
      <c r="C5" s="2" t="s">
        <v>85</v>
      </c>
      <c r="D5" s="2" t="s">
        <v>86</v>
      </c>
      <c r="E5" s="2" t="n">
        <v>96</v>
      </c>
      <c r="F5" s="2" t="n">
        <v>0.18</v>
      </c>
      <c r="G5" s="2" t="n">
        <v>1.6</v>
      </c>
      <c r="H5" s="2" t="n">
        <v>0.36</v>
      </c>
      <c r="I5" s="2" t="n">
        <v>0.85</v>
      </c>
      <c r="J5" s="2" t="n">
        <v>6.18</v>
      </c>
      <c r="K5" s="2" t="n">
        <v>0.21</v>
      </c>
      <c r="L5" s="2" t="n">
        <v>0.24</v>
      </c>
      <c r="M5" s="2" t="n">
        <v>4.11</v>
      </c>
      <c r="N5" s="2" t="n">
        <v>357.06</v>
      </c>
      <c r="O5" s="2" t="n">
        <v>5.97</v>
      </c>
    </row>
    <row r="6" customFormat="false" ht="15" hidden="false" customHeight="false" outlineLevel="0" collapsed="false">
      <c r="A6" s="2" t="s">
        <v>100</v>
      </c>
      <c r="B6" s="2" t="n">
        <v>2009</v>
      </c>
      <c r="C6" s="2" t="s">
        <v>85</v>
      </c>
      <c r="D6" s="2" t="s">
        <v>86</v>
      </c>
      <c r="E6" s="2" t="n">
        <v>97</v>
      </c>
      <c r="F6" s="2" t="n">
        <v>0.18</v>
      </c>
      <c r="G6" s="2" t="n">
        <v>1.03</v>
      </c>
      <c r="H6" s="2" t="n">
        <v>0.5</v>
      </c>
      <c r="I6" s="2" t="n">
        <v>0.81</v>
      </c>
      <c r="J6" s="2" t="n">
        <v>6.21</v>
      </c>
      <c r="K6" s="2" t="n">
        <v>0.21</v>
      </c>
      <c r="L6" s="2" t="n">
        <v>0.23</v>
      </c>
      <c r="M6" s="2" t="n">
        <v>3.6</v>
      </c>
      <c r="N6" s="2" t="n">
        <v>10943.35</v>
      </c>
      <c r="O6" s="2" t="n">
        <v>2.99</v>
      </c>
    </row>
    <row r="7" customFormat="false" ht="15" hidden="false" customHeight="false" outlineLevel="0" collapsed="false">
      <c r="A7" s="2" t="s">
        <v>102</v>
      </c>
      <c r="B7" s="2" t="n">
        <v>2009</v>
      </c>
      <c r="C7" s="2" t="s">
        <v>85</v>
      </c>
      <c r="D7" s="2" t="s">
        <v>86</v>
      </c>
      <c r="E7" s="2" t="n">
        <v>98</v>
      </c>
      <c r="F7" s="2" t="n">
        <v>0.19</v>
      </c>
      <c r="G7" s="2" t="n">
        <v>0.74</v>
      </c>
      <c r="H7" s="2" t="n">
        <v>0.44</v>
      </c>
      <c r="I7" s="2" t="n">
        <v>0.72</v>
      </c>
      <c r="J7" s="2" t="n">
        <v>5.01</v>
      </c>
      <c r="K7" s="2" t="n">
        <v>0.23</v>
      </c>
      <c r="L7" s="2" t="n">
        <v>0.23</v>
      </c>
      <c r="M7" s="2" t="n">
        <v>2.55</v>
      </c>
      <c r="N7" s="2" t="n">
        <v>100</v>
      </c>
      <c r="O7" s="2" t="n">
        <v>10.2</v>
      </c>
    </row>
    <row r="8" customFormat="false" ht="15" hidden="false" customHeight="false" outlineLevel="0" collapsed="false">
      <c r="A8" s="2" t="s">
        <v>104</v>
      </c>
      <c r="B8" s="2" t="n">
        <v>2009</v>
      </c>
      <c r="C8" s="2" t="s">
        <v>85</v>
      </c>
      <c r="D8" s="2" t="s">
        <v>86</v>
      </c>
      <c r="E8" s="2" t="n">
        <v>99</v>
      </c>
      <c r="F8" s="2" t="n">
        <v>0.18</v>
      </c>
      <c r="G8" s="2" t="n">
        <v>1.07</v>
      </c>
      <c r="H8" s="2" t="n">
        <v>0.46</v>
      </c>
      <c r="I8" s="2" t="n">
        <v>0.92</v>
      </c>
      <c r="J8" s="2" t="n">
        <v>8.65</v>
      </c>
      <c r="K8" s="2" t="n">
        <v>0.21</v>
      </c>
      <c r="L8" s="2" t="n">
        <v>0.22</v>
      </c>
      <c r="M8" s="2" t="n">
        <v>3.07</v>
      </c>
      <c r="N8" s="2" t="n">
        <v>100</v>
      </c>
      <c r="O8" s="2" t="n">
        <v>1.32</v>
      </c>
    </row>
    <row r="9" customFormat="false" ht="15" hidden="false" customHeight="false" outlineLevel="0" collapsed="false">
      <c r="A9" s="2" t="s">
        <v>106</v>
      </c>
      <c r="B9" s="2" t="n">
        <v>2009</v>
      </c>
      <c r="C9" s="2" t="s">
        <v>85</v>
      </c>
      <c r="D9" s="2" t="s">
        <v>86</v>
      </c>
      <c r="E9" s="2" t="n">
        <v>100</v>
      </c>
      <c r="F9" s="2" t="n">
        <v>0.18</v>
      </c>
      <c r="G9" s="2" t="n">
        <v>1.04</v>
      </c>
      <c r="H9" s="2" t="n">
        <v>0.44</v>
      </c>
      <c r="I9" s="2" t="n">
        <v>0.83</v>
      </c>
      <c r="J9" s="2" t="n">
        <v>6.87</v>
      </c>
      <c r="K9" s="2" t="n">
        <v>0.21</v>
      </c>
      <c r="L9" s="2" t="n">
        <v>0.22</v>
      </c>
      <c r="M9" s="2" t="n">
        <v>2.82</v>
      </c>
      <c r="N9" s="2" t="n">
        <v>437.01</v>
      </c>
      <c r="O9" s="2" t="n">
        <v>1.8</v>
      </c>
    </row>
    <row r="10" customFormat="false" ht="15" hidden="false" customHeight="false" outlineLevel="0" collapsed="false">
      <c r="A10" s="2" t="s">
        <v>109</v>
      </c>
      <c r="B10" s="2" t="n">
        <v>2009</v>
      </c>
      <c r="C10" s="2" t="s">
        <v>85</v>
      </c>
      <c r="D10" s="2" t="s">
        <v>86</v>
      </c>
      <c r="E10" s="2" t="n">
        <v>101</v>
      </c>
      <c r="F10" s="2" t="n">
        <v>0.18</v>
      </c>
      <c r="G10" s="2" t="n">
        <v>1.01</v>
      </c>
      <c r="H10" s="2" t="n">
        <v>0.47</v>
      </c>
      <c r="I10" s="2" t="n">
        <v>0.81</v>
      </c>
      <c r="J10" s="2" t="n">
        <v>6.83</v>
      </c>
      <c r="K10" s="2" t="n">
        <v>0.21</v>
      </c>
      <c r="L10" s="2" t="n">
        <v>0.22</v>
      </c>
      <c r="M10" s="2" t="n">
        <v>2.77</v>
      </c>
      <c r="N10" s="2" t="n">
        <v>100</v>
      </c>
      <c r="O10" s="2" t="n">
        <v>2.57</v>
      </c>
    </row>
    <row r="11" customFormat="false" ht="15" hidden="false" customHeight="false" outlineLevel="0" collapsed="false">
      <c r="A11" s="2" t="s">
        <v>111</v>
      </c>
      <c r="B11" s="2" t="n">
        <v>2009</v>
      </c>
      <c r="C11" s="2" t="s">
        <v>85</v>
      </c>
      <c r="D11" s="2" t="s">
        <v>86</v>
      </c>
      <c r="E11" s="2" t="n">
        <v>102</v>
      </c>
      <c r="F11" s="2" t="n">
        <v>0.18</v>
      </c>
      <c r="G11" s="2" t="n">
        <v>0.99</v>
      </c>
      <c r="H11" s="2" t="n">
        <v>0.45</v>
      </c>
      <c r="I11" s="2" t="n">
        <v>0.86</v>
      </c>
      <c r="J11" s="2" t="n">
        <v>7.99</v>
      </c>
      <c r="K11" s="2" t="n">
        <v>0.21</v>
      </c>
      <c r="L11" s="2" t="n">
        <v>0.22</v>
      </c>
      <c r="M11" s="2" t="n">
        <v>3.01</v>
      </c>
      <c r="N11" s="2" t="n">
        <v>100</v>
      </c>
      <c r="O11" s="2" t="n">
        <v>1.49</v>
      </c>
    </row>
    <row r="12" customFormat="false" ht="15" hidden="false" customHeight="false" outlineLevel="0" collapsed="false">
      <c r="A12" s="2" t="s">
        <v>113</v>
      </c>
      <c r="B12" s="2" t="n">
        <v>2009</v>
      </c>
      <c r="C12" s="2" t="s">
        <v>85</v>
      </c>
      <c r="D12" s="2" t="s">
        <v>86</v>
      </c>
      <c r="E12" s="2" t="n">
        <v>104</v>
      </c>
      <c r="F12" s="2" t="n">
        <v>0.18</v>
      </c>
      <c r="G12" s="2" t="n">
        <v>0.98</v>
      </c>
      <c r="H12" s="2" t="n">
        <v>0.46</v>
      </c>
      <c r="I12" s="2" t="n">
        <v>0.86</v>
      </c>
      <c r="J12" s="2" t="n">
        <v>7.14</v>
      </c>
      <c r="K12" s="2" t="n">
        <v>0.21</v>
      </c>
      <c r="L12" s="2" t="n">
        <v>0.22</v>
      </c>
      <c r="M12" s="2" t="n">
        <v>3.26</v>
      </c>
      <c r="N12" s="2" t="n">
        <v>738.44</v>
      </c>
      <c r="O12" s="2" t="n">
        <v>1.83</v>
      </c>
    </row>
    <row r="13" customFormat="false" ht="15" hidden="false" customHeight="false" outlineLevel="0" collapsed="false">
      <c r="A13" s="2" t="s">
        <v>115</v>
      </c>
      <c r="B13" s="2" t="n">
        <v>2009</v>
      </c>
      <c r="C13" s="2" t="s">
        <v>85</v>
      </c>
      <c r="D13" s="2" t="s">
        <v>86</v>
      </c>
      <c r="E13" s="2" t="n">
        <v>105</v>
      </c>
      <c r="F13" s="2" t="n">
        <v>0.18</v>
      </c>
      <c r="G13" s="2" t="n">
        <v>0.78</v>
      </c>
      <c r="H13" s="2" t="n">
        <v>0.4</v>
      </c>
      <c r="I13" s="2" t="n">
        <v>0.83</v>
      </c>
      <c r="J13" s="2" t="n">
        <v>8.37</v>
      </c>
      <c r="K13" s="2" t="n">
        <v>0.22</v>
      </c>
      <c r="L13" s="2" t="n">
        <v>0.22</v>
      </c>
      <c r="M13" s="2" t="n">
        <v>2.96</v>
      </c>
      <c r="N13" s="2" t="n">
        <v>125.71</v>
      </c>
      <c r="O13" s="2" t="n">
        <v>1.9</v>
      </c>
    </row>
    <row r="14" customFormat="false" ht="15" hidden="false" customHeight="false" outlineLevel="0" collapsed="false">
      <c r="A14" s="2" t="s">
        <v>117</v>
      </c>
      <c r="B14" s="2" t="n">
        <v>2009</v>
      </c>
      <c r="C14" s="2" t="s">
        <v>85</v>
      </c>
      <c r="D14" s="2" t="s">
        <v>86</v>
      </c>
      <c r="E14" s="2" t="n">
        <v>106</v>
      </c>
      <c r="F14" s="2" t="n">
        <v>0.18</v>
      </c>
      <c r="G14" s="2" t="n">
        <v>1</v>
      </c>
      <c r="H14" s="2" t="n">
        <v>0.46</v>
      </c>
      <c r="I14" s="2" t="n">
        <v>0.83</v>
      </c>
      <c r="J14" s="2" t="n">
        <v>7.07</v>
      </c>
      <c r="K14" s="2" t="n">
        <v>0.21</v>
      </c>
      <c r="L14" s="2" t="n">
        <v>0.22</v>
      </c>
      <c r="M14" s="2" t="n">
        <v>2.81</v>
      </c>
      <c r="N14" s="2" t="n">
        <v>100</v>
      </c>
      <c r="O14" s="2" t="n">
        <v>1.87</v>
      </c>
    </row>
    <row r="15" customFormat="false" ht="15" hidden="false" customHeight="false" outlineLevel="0" collapsed="false">
      <c r="A15" s="2" t="s">
        <v>119</v>
      </c>
      <c r="B15" s="2" t="n">
        <v>2009</v>
      </c>
      <c r="C15" s="2" t="s">
        <v>85</v>
      </c>
      <c r="D15" s="2" t="s">
        <v>86</v>
      </c>
      <c r="E15" s="2" t="n">
        <v>107</v>
      </c>
      <c r="F15" s="2" t="n">
        <v>0.18</v>
      </c>
      <c r="G15" s="2" t="n">
        <v>0.94</v>
      </c>
      <c r="H15" s="2" t="n">
        <v>0.44</v>
      </c>
      <c r="I15" s="2" t="n">
        <v>0.84</v>
      </c>
      <c r="J15" s="2" t="n">
        <v>7.46</v>
      </c>
      <c r="K15" s="2" t="n">
        <v>0.21</v>
      </c>
      <c r="L15" s="2" t="n">
        <v>0.22</v>
      </c>
      <c r="M15" s="2" t="n">
        <v>3</v>
      </c>
      <c r="N15" s="2" t="n">
        <v>100</v>
      </c>
      <c r="O15" s="2" t="n">
        <v>2.2</v>
      </c>
    </row>
    <row r="16" customFormat="false" ht="15" hidden="false" customHeight="false" outlineLevel="0" collapsed="false">
      <c r="A16" s="2" t="s">
        <v>121</v>
      </c>
      <c r="B16" s="2" t="n">
        <v>2009</v>
      </c>
      <c r="C16" s="2" t="s">
        <v>85</v>
      </c>
      <c r="D16" s="2" t="s">
        <v>86</v>
      </c>
      <c r="E16" s="2" t="n">
        <v>108</v>
      </c>
      <c r="F16" s="2" t="n">
        <v>0.18</v>
      </c>
      <c r="G16" s="2" t="n">
        <v>0.94</v>
      </c>
      <c r="H16" s="2" t="n">
        <v>0.58</v>
      </c>
      <c r="I16" s="2" t="n">
        <v>0.7</v>
      </c>
      <c r="J16" s="2" t="n">
        <v>4.97</v>
      </c>
      <c r="K16" s="2" t="n">
        <v>0.22</v>
      </c>
      <c r="L16" s="2" t="n">
        <v>0.23</v>
      </c>
      <c r="M16" s="2" t="n">
        <v>2.86</v>
      </c>
      <c r="N16" s="2" t="n">
        <v>184.17</v>
      </c>
      <c r="O16" s="2" t="n">
        <v>13.06</v>
      </c>
    </row>
    <row r="17" customFormat="false" ht="15" hidden="false" customHeight="false" outlineLevel="0" collapsed="false">
      <c r="A17" s="2" t="s">
        <v>123</v>
      </c>
      <c r="B17" s="2" t="n">
        <v>2009</v>
      </c>
      <c r="C17" s="2" t="s">
        <v>85</v>
      </c>
      <c r="D17" s="2" t="s">
        <v>86</v>
      </c>
      <c r="E17" s="2" t="n">
        <v>109</v>
      </c>
      <c r="F17" s="2" t="n">
        <v>0.17</v>
      </c>
      <c r="G17" s="2" t="n">
        <v>1.68</v>
      </c>
      <c r="H17" s="2" t="n">
        <v>0.75</v>
      </c>
      <c r="I17" s="2" t="n">
        <v>0.78</v>
      </c>
      <c r="J17" s="2" t="n">
        <v>4.97</v>
      </c>
      <c r="K17" s="2" t="n">
        <v>0.19</v>
      </c>
      <c r="L17" s="2" t="n">
        <v>0.24</v>
      </c>
      <c r="M17" s="2" t="n">
        <v>4.63</v>
      </c>
      <c r="N17" s="2" t="n">
        <v>53384.03</v>
      </c>
      <c r="O17" s="2" t="n">
        <v>5.92</v>
      </c>
    </row>
    <row r="18" customFormat="false" ht="15" hidden="false" customHeight="false" outlineLevel="0" collapsed="false">
      <c r="A18" s="2" t="s">
        <v>125</v>
      </c>
      <c r="B18" s="2" t="n">
        <v>2009</v>
      </c>
      <c r="C18" s="2" t="s">
        <v>85</v>
      </c>
      <c r="D18" s="2" t="s">
        <v>86</v>
      </c>
      <c r="E18" s="2" t="n">
        <v>110</v>
      </c>
      <c r="F18" s="2" t="n">
        <v>0.18</v>
      </c>
      <c r="G18" s="2" t="n">
        <v>1.09</v>
      </c>
      <c r="H18" s="2" t="n">
        <v>0.67</v>
      </c>
      <c r="I18" s="2" t="n">
        <v>0.73</v>
      </c>
      <c r="J18" s="2" t="n">
        <v>5.08</v>
      </c>
      <c r="K18" s="2" t="n">
        <v>0.21</v>
      </c>
      <c r="L18" s="2" t="n">
        <v>0.23</v>
      </c>
      <c r="M18" s="2" t="n">
        <v>3.14</v>
      </c>
      <c r="N18" s="2" t="n">
        <v>6.43</v>
      </c>
      <c r="O18" s="2" t="n">
        <v>17.49</v>
      </c>
    </row>
    <row r="19" customFormat="false" ht="15" hidden="false" customHeight="false" outlineLevel="0" collapsed="false">
      <c r="A19" s="2" t="s">
        <v>127</v>
      </c>
      <c r="B19" s="2" t="n">
        <v>2009</v>
      </c>
      <c r="C19" s="2" t="s">
        <v>85</v>
      </c>
      <c r="D19" s="2" t="s">
        <v>86</v>
      </c>
      <c r="E19" s="2" t="n">
        <v>111</v>
      </c>
      <c r="F19" s="2" t="n">
        <v>0.18</v>
      </c>
      <c r="G19" s="2" t="n">
        <v>1.06</v>
      </c>
      <c r="H19" s="2" t="n">
        <v>0.46</v>
      </c>
      <c r="I19" s="2" t="n">
        <v>0.7</v>
      </c>
      <c r="J19" s="2" t="n">
        <v>5.27</v>
      </c>
      <c r="K19" s="2" t="n">
        <v>0.22</v>
      </c>
      <c r="L19" s="2" t="n">
        <v>0.24</v>
      </c>
      <c r="M19" s="2" t="n">
        <v>2.39</v>
      </c>
      <c r="N19" s="2" t="n">
        <v>4.48</v>
      </c>
      <c r="O19" s="2" t="n">
        <v>15.68</v>
      </c>
    </row>
    <row r="20" customFormat="false" ht="15" hidden="false" customHeight="false" outlineLevel="0" collapsed="false">
      <c r="A20" s="2" t="s">
        <v>129</v>
      </c>
      <c r="B20" s="2" t="n">
        <v>2009</v>
      </c>
      <c r="C20" s="2" t="s">
        <v>85</v>
      </c>
      <c r="D20" s="2" t="s">
        <v>86</v>
      </c>
      <c r="E20" s="2" t="n">
        <v>112</v>
      </c>
      <c r="F20" s="2" t="n">
        <v>0.18</v>
      </c>
      <c r="G20" s="2" t="n">
        <v>0.85</v>
      </c>
      <c r="H20" s="2" t="n">
        <v>0.47</v>
      </c>
      <c r="I20" s="2" t="n">
        <v>0.77</v>
      </c>
      <c r="J20" s="2" t="n">
        <v>7.33</v>
      </c>
      <c r="K20" s="2" t="n">
        <v>0.22</v>
      </c>
      <c r="L20" s="2" t="n">
        <v>0.22</v>
      </c>
      <c r="M20" s="2" t="n">
        <v>2.95</v>
      </c>
      <c r="N20" s="2" t="n">
        <v>147.58</v>
      </c>
      <c r="O20" s="2" t="n">
        <v>11.48</v>
      </c>
    </row>
    <row r="21" customFormat="false" ht="15" hidden="false" customHeight="false" outlineLevel="0" collapsed="false">
      <c r="A21" s="2" t="s">
        <v>131</v>
      </c>
      <c r="B21" s="2" t="n">
        <v>2009</v>
      </c>
      <c r="C21" s="2" t="s">
        <v>85</v>
      </c>
      <c r="D21" s="2" t="s">
        <v>86</v>
      </c>
      <c r="E21" s="2" t="n">
        <v>113</v>
      </c>
      <c r="F21" s="2" t="n">
        <v>0.17</v>
      </c>
      <c r="G21" s="2" t="n">
        <v>1.62</v>
      </c>
      <c r="H21" s="2" t="n">
        <v>0.79</v>
      </c>
      <c r="I21" s="2" t="n">
        <v>0.8</v>
      </c>
      <c r="J21" s="2" t="n">
        <v>5.76</v>
      </c>
      <c r="K21" s="2" t="n">
        <v>0.19</v>
      </c>
      <c r="L21" s="2" t="n">
        <v>0.24</v>
      </c>
      <c r="M21" s="2" t="n">
        <v>4.31</v>
      </c>
      <c r="N21" s="2" t="n">
        <v>100</v>
      </c>
      <c r="O21" s="2" t="n">
        <v>5.01</v>
      </c>
    </row>
    <row r="22" customFormat="false" ht="15" hidden="false" customHeight="false" outlineLevel="0" collapsed="false">
      <c r="A22" s="2" t="s">
        <v>133</v>
      </c>
      <c r="B22" s="2" t="n">
        <v>2009</v>
      </c>
      <c r="C22" s="2" t="s">
        <v>85</v>
      </c>
      <c r="D22" s="2" t="s">
        <v>86</v>
      </c>
      <c r="E22" s="2" t="n">
        <v>114</v>
      </c>
      <c r="F22" s="2" t="n">
        <v>0.18</v>
      </c>
      <c r="G22" s="2" t="n">
        <v>1.47</v>
      </c>
      <c r="H22" s="2" t="n">
        <v>0.69</v>
      </c>
      <c r="I22" s="2" t="n">
        <v>0.77</v>
      </c>
      <c r="J22" s="2" t="n">
        <v>5.57</v>
      </c>
      <c r="K22" s="2" t="n">
        <v>0.2</v>
      </c>
      <c r="L22" s="2" t="n">
        <v>0.23</v>
      </c>
      <c r="M22" s="2" t="n">
        <v>3.6</v>
      </c>
      <c r="N22" s="2" t="n">
        <v>21.81</v>
      </c>
      <c r="O22" s="2" t="n">
        <v>9.07</v>
      </c>
    </row>
    <row r="23" customFormat="false" ht="15" hidden="false" customHeight="false" outlineLevel="0" collapsed="false">
      <c r="A23" s="2" t="s">
        <v>135</v>
      </c>
      <c r="B23" s="2" t="n">
        <v>2009</v>
      </c>
      <c r="C23" s="2" t="s">
        <v>85</v>
      </c>
      <c r="D23" s="2" t="s">
        <v>86</v>
      </c>
      <c r="E23" s="2" t="n">
        <v>116</v>
      </c>
      <c r="F23" s="2" t="n">
        <v>0.18</v>
      </c>
      <c r="G23" s="2" t="n">
        <v>1.06</v>
      </c>
      <c r="H23" s="2" t="n">
        <v>0.43</v>
      </c>
      <c r="I23" s="2" t="n">
        <v>0.84</v>
      </c>
      <c r="J23" s="2" t="n">
        <v>8.04</v>
      </c>
      <c r="K23" s="2" t="n">
        <v>0.21</v>
      </c>
      <c r="L23" s="2" t="n">
        <v>0.22</v>
      </c>
      <c r="M23" s="2" t="n">
        <v>3</v>
      </c>
      <c r="N23" s="2" t="n">
        <v>100</v>
      </c>
      <c r="O23" s="2" t="n">
        <v>2.5</v>
      </c>
    </row>
    <row r="24" customFormat="false" ht="15" hidden="false" customHeight="false" outlineLevel="0" collapsed="false">
      <c r="A24" s="2" t="s">
        <v>137</v>
      </c>
      <c r="B24" s="2" t="n">
        <v>2009</v>
      </c>
      <c r="C24" s="2" t="s">
        <v>85</v>
      </c>
      <c r="D24" s="2" t="s">
        <v>86</v>
      </c>
      <c r="E24" s="2" t="n">
        <v>117</v>
      </c>
      <c r="F24" s="2" t="n">
        <v>0.18</v>
      </c>
      <c r="G24" s="2" t="n">
        <v>0.94</v>
      </c>
      <c r="H24" s="2" t="n">
        <v>0.46</v>
      </c>
      <c r="I24" s="2" t="n">
        <v>0.85</v>
      </c>
      <c r="J24" s="2" t="n">
        <v>6.74</v>
      </c>
      <c r="K24" s="2" t="n">
        <v>0.21</v>
      </c>
      <c r="L24" s="2" t="n">
        <v>0.22</v>
      </c>
      <c r="M24" s="2" t="n">
        <v>3.18</v>
      </c>
      <c r="N24" s="2" t="n">
        <v>100</v>
      </c>
      <c r="O24" s="2" t="n">
        <v>2.49</v>
      </c>
    </row>
    <row r="25" customFormat="false" ht="15" hidden="false" customHeight="false" outlineLevel="0" collapsed="false">
      <c r="A25" s="2" t="s">
        <v>139</v>
      </c>
      <c r="B25" s="2" t="n">
        <v>2009</v>
      </c>
      <c r="C25" s="2" t="s">
        <v>85</v>
      </c>
      <c r="D25" s="2" t="s">
        <v>86</v>
      </c>
      <c r="E25" s="2" t="n">
        <v>118</v>
      </c>
      <c r="F25" s="2" t="n">
        <v>0.17</v>
      </c>
      <c r="G25" s="2" t="n">
        <v>1.67</v>
      </c>
      <c r="H25" s="2" t="n">
        <v>0.78</v>
      </c>
      <c r="I25" s="2" t="n">
        <v>0.87</v>
      </c>
      <c r="J25" s="2" t="n">
        <v>6.53</v>
      </c>
      <c r="K25" s="2" t="n">
        <v>0.19</v>
      </c>
      <c r="L25" s="2" t="n">
        <v>0.22</v>
      </c>
      <c r="M25" s="2" t="n">
        <v>3.63</v>
      </c>
      <c r="N25" s="2" t="n">
        <v>100</v>
      </c>
      <c r="O25" s="2" t="n">
        <v>2.82</v>
      </c>
    </row>
    <row r="26" customFormat="false" ht="15" hidden="false" customHeight="false" outlineLevel="0" collapsed="false">
      <c r="A26" s="2" t="s">
        <v>141</v>
      </c>
      <c r="B26" s="2" t="n">
        <v>2009</v>
      </c>
      <c r="C26" s="2" t="s">
        <v>85</v>
      </c>
      <c r="D26" s="2" t="s">
        <v>86</v>
      </c>
      <c r="E26" s="2" t="n">
        <v>119</v>
      </c>
      <c r="F26" s="2" t="n">
        <v>0.18</v>
      </c>
      <c r="G26" s="2" t="n">
        <v>1.37</v>
      </c>
      <c r="H26" s="2" t="n">
        <v>0.62</v>
      </c>
      <c r="I26" s="2" t="n">
        <v>0.8</v>
      </c>
      <c r="J26" s="2" t="n">
        <v>5</v>
      </c>
      <c r="K26" s="2" t="n">
        <v>0.2</v>
      </c>
      <c r="L26" s="2" t="n">
        <v>0.23</v>
      </c>
      <c r="M26" s="2" t="n">
        <v>3.78</v>
      </c>
      <c r="N26" s="2" t="n">
        <v>59.22</v>
      </c>
      <c r="O26" s="2" t="n">
        <v>4.55</v>
      </c>
    </row>
    <row r="27" customFormat="false" ht="15" hidden="false" customHeight="false" outlineLevel="0" collapsed="false">
      <c r="A27" s="2" t="s">
        <v>143</v>
      </c>
      <c r="B27" s="2" t="n">
        <v>2009</v>
      </c>
      <c r="C27" s="2" t="s">
        <v>85</v>
      </c>
      <c r="D27" s="2" t="s">
        <v>86</v>
      </c>
      <c r="E27" s="2" t="n">
        <v>120</v>
      </c>
      <c r="F27" s="2" t="n">
        <v>0.18</v>
      </c>
      <c r="G27" s="2" t="n">
        <v>0.87</v>
      </c>
      <c r="H27" s="2" t="n">
        <v>0.41</v>
      </c>
      <c r="I27" s="2" t="n">
        <v>0.82</v>
      </c>
      <c r="J27" s="2" t="n">
        <v>6.88</v>
      </c>
      <c r="K27" s="2" t="n">
        <v>0.21</v>
      </c>
      <c r="L27" s="2" t="n">
        <v>0.22</v>
      </c>
      <c r="M27" s="2" t="n">
        <v>2.62</v>
      </c>
      <c r="N27" s="2" t="n">
        <v>100</v>
      </c>
      <c r="O27" s="2" t="n">
        <v>2.1</v>
      </c>
    </row>
    <row r="28" customFormat="false" ht="15" hidden="false" customHeight="false" outlineLevel="0" collapsed="false">
      <c r="A28" s="2" t="s">
        <v>145</v>
      </c>
      <c r="B28" s="2" t="n">
        <v>2009</v>
      </c>
      <c r="C28" s="2" t="s">
        <v>85</v>
      </c>
      <c r="D28" s="2" t="s">
        <v>86</v>
      </c>
      <c r="E28" s="2" t="n">
        <v>121</v>
      </c>
      <c r="F28" s="2" t="n">
        <v>0.18</v>
      </c>
      <c r="G28" s="2" t="n">
        <v>0.93</v>
      </c>
      <c r="H28" s="2" t="n">
        <v>0.43</v>
      </c>
      <c r="I28" s="2" t="n">
        <v>0.83</v>
      </c>
      <c r="J28" s="2" t="n">
        <v>7.45</v>
      </c>
      <c r="K28" s="2" t="n">
        <v>0.21</v>
      </c>
      <c r="L28" s="2" t="n">
        <v>0.22</v>
      </c>
      <c r="M28" s="2" t="n">
        <v>2.84</v>
      </c>
      <c r="N28" s="2" t="n">
        <v>100</v>
      </c>
      <c r="O28" s="2" t="n">
        <v>1.67</v>
      </c>
    </row>
    <row r="29" customFormat="false" ht="15" hidden="false" customHeight="false" outlineLevel="0" collapsed="false">
      <c r="A29" s="2" t="s">
        <v>147</v>
      </c>
      <c r="B29" s="2" t="n">
        <v>2009</v>
      </c>
      <c r="C29" s="2" t="s">
        <v>85</v>
      </c>
      <c r="D29" s="2" t="s">
        <v>86</v>
      </c>
      <c r="E29" s="2" t="n">
        <v>122</v>
      </c>
      <c r="F29" s="2" t="n">
        <v>0.18</v>
      </c>
      <c r="G29" s="2" t="n">
        <v>0.95</v>
      </c>
      <c r="H29" s="2" t="n">
        <v>0.46</v>
      </c>
      <c r="I29" s="2" t="n">
        <v>0.81</v>
      </c>
      <c r="J29" s="2" t="n">
        <v>7.41</v>
      </c>
      <c r="K29" s="2" t="n">
        <v>0.22</v>
      </c>
      <c r="L29" s="2" t="n">
        <v>0.22</v>
      </c>
      <c r="M29" s="2" t="n">
        <v>2.95</v>
      </c>
      <c r="N29" s="2" t="n">
        <v>100</v>
      </c>
      <c r="O29" s="2" t="n">
        <v>2.39</v>
      </c>
    </row>
    <row r="30" customFormat="false" ht="15" hidden="false" customHeight="false" outlineLevel="0" collapsed="false">
      <c r="A30" s="2" t="s">
        <v>149</v>
      </c>
      <c r="B30" s="2" t="n">
        <v>2009</v>
      </c>
      <c r="C30" s="2" t="s">
        <v>85</v>
      </c>
      <c r="D30" s="2" t="s">
        <v>86</v>
      </c>
      <c r="E30" s="2" t="n">
        <v>123</v>
      </c>
      <c r="F30" s="2" t="n">
        <v>0.17</v>
      </c>
      <c r="G30" s="2" t="n">
        <v>1.53</v>
      </c>
      <c r="H30" s="2" t="n">
        <v>0.76</v>
      </c>
      <c r="I30" s="2" t="n">
        <v>0.82</v>
      </c>
      <c r="J30" s="2" t="n">
        <v>6.02</v>
      </c>
      <c r="K30" s="2" t="n">
        <v>0.19</v>
      </c>
      <c r="L30" s="2" t="n">
        <v>0.23</v>
      </c>
      <c r="M30" s="2" t="n">
        <v>4.3</v>
      </c>
      <c r="N30" s="2" t="n">
        <v>100</v>
      </c>
      <c r="O30" s="2" t="n">
        <v>3.92</v>
      </c>
    </row>
    <row r="31" customFormat="false" ht="15" hidden="false" customHeight="false" outlineLevel="0" collapsed="false">
      <c r="A31" s="2" t="s">
        <v>151</v>
      </c>
      <c r="B31" s="2" t="n">
        <v>2009</v>
      </c>
      <c r="C31" s="2" t="s">
        <v>85</v>
      </c>
      <c r="D31" s="2" t="s">
        <v>86</v>
      </c>
      <c r="E31" s="2" t="n">
        <v>124</v>
      </c>
      <c r="F31" s="2" t="n">
        <v>0.17</v>
      </c>
      <c r="G31" s="2" t="n">
        <v>1.76</v>
      </c>
      <c r="H31" s="2" t="n">
        <v>0.76</v>
      </c>
      <c r="I31" s="2" t="n">
        <v>0.86</v>
      </c>
      <c r="J31" s="2" t="n">
        <v>6.26</v>
      </c>
      <c r="K31" s="2" t="n">
        <v>0.19</v>
      </c>
      <c r="L31" s="2" t="n">
        <v>0.23</v>
      </c>
      <c r="M31" s="2" t="n">
        <v>4.01</v>
      </c>
      <c r="N31" s="2" t="n">
        <v>100</v>
      </c>
      <c r="O31" s="2" t="n">
        <v>2.39</v>
      </c>
    </row>
    <row r="32" customFormat="false" ht="15" hidden="false" customHeight="false" outlineLevel="0" collapsed="false">
      <c r="A32" s="2" t="s">
        <v>153</v>
      </c>
      <c r="B32" s="2" t="n">
        <v>2009</v>
      </c>
      <c r="C32" s="2" t="s">
        <v>85</v>
      </c>
      <c r="D32" s="2" t="s">
        <v>86</v>
      </c>
      <c r="E32" s="2" t="n">
        <v>125</v>
      </c>
      <c r="F32" s="2" t="n">
        <v>0.18</v>
      </c>
      <c r="G32" s="2" t="n">
        <v>0.87</v>
      </c>
      <c r="H32" s="2" t="n">
        <v>0.42</v>
      </c>
      <c r="I32" s="2" t="n">
        <v>0.85</v>
      </c>
      <c r="J32" s="2" t="n">
        <v>9.58</v>
      </c>
      <c r="K32" s="2" t="n">
        <v>0.22</v>
      </c>
      <c r="L32" s="2" t="n">
        <v>0.22</v>
      </c>
      <c r="M32" s="2" t="n">
        <v>2.91</v>
      </c>
      <c r="N32" s="2" t="n">
        <v>100</v>
      </c>
      <c r="O32" s="2" t="n">
        <v>1.41</v>
      </c>
    </row>
    <row r="33" customFormat="false" ht="15" hidden="false" customHeight="false" outlineLevel="0" collapsed="false">
      <c r="A33" s="2" t="s">
        <v>155</v>
      </c>
      <c r="B33" s="2" t="n">
        <v>2009</v>
      </c>
      <c r="C33" s="2" t="s">
        <v>85</v>
      </c>
      <c r="D33" s="2" t="s">
        <v>86</v>
      </c>
      <c r="E33" s="2" t="n">
        <v>126</v>
      </c>
      <c r="F33" s="2" t="n">
        <v>0.18</v>
      </c>
      <c r="G33" s="2" t="n">
        <v>0.97</v>
      </c>
      <c r="H33" s="2" t="n">
        <v>0.44</v>
      </c>
      <c r="I33" s="2" t="n">
        <v>0.85</v>
      </c>
      <c r="J33" s="2" t="n">
        <v>7.72</v>
      </c>
      <c r="K33" s="2" t="n">
        <v>0.21</v>
      </c>
      <c r="L33" s="2" t="n">
        <v>0.22</v>
      </c>
      <c r="M33" s="2" t="n">
        <v>2.85</v>
      </c>
      <c r="N33" s="2" t="n">
        <v>100</v>
      </c>
      <c r="O33" s="2" t="n">
        <v>1.3</v>
      </c>
    </row>
    <row r="34" customFormat="false" ht="15" hidden="false" customHeight="false" outlineLevel="0" collapsed="false">
      <c r="A34" s="2" t="s">
        <v>157</v>
      </c>
      <c r="B34" s="2" t="n">
        <v>2009</v>
      </c>
      <c r="C34" s="2" t="s">
        <v>85</v>
      </c>
      <c r="D34" s="2" t="s">
        <v>86</v>
      </c>
      <c r="E34" s="2" t="n">
        <v>127</v>
      </c>
      <c r="F34" s="2" t="n">
        <v>0.18</v>
      </c>
      <c r="G34" s="2" t="n">
        <v>0.94</v>
      </c>
      <c r="H34" s="2" t="n">
        <v>0.53</v>
      </c>
      <c r="I34" s="2" t="n">
        <v>0.69</v>
      </c>
      <c r="J34" s="2" t="n">
        <v>4.88</v>
      </c>
      <c r="K34" s="2" t="n">
        <v>0.22</v>
      </c>
      <c r="L34" s="2" t="n">
        <v>0.23</v>
      </c>
      <c r="M34" s="2" t="n">
        <v>2.55</v>
      </c>
      <c r="N34" s="2" t="n">
        <v>9.15</v>
      </c>
      <c r="O34" s="2" t="n">
        <v>14.67</v>
      </c>
    </row>
    <row r="35" customFormat="false" ht="15" hidden="false" customHeight="false" outlineLevel="0" collapsed="false">
      <c r="A35" s="2" t="s">
        <v>159</v>
      </c>
      <c r="B35" s="2" t="n">
        <v>2009</v>
      </c>
      <c r="C35" s="2" t="s">
        <v>85</v>
      </c>
      <c r="D35" s="2" t="s">
        <v>86</v>
      </c>
      <c r="E35" s="2" t="n">
        <v>128</v>
      </c>
      <c r="F35" s="2" t="n">
        <v>0.18</v>
      </c>
      <c r="G35" s="2" t="n">
        <v>1.16</v>
      </c>
      <c r="H35" s="2" t="n">
        <v>0.46</v>
      </c>
      <c r="I35" s="2" t="n">
        <v>0.88</v>
      </c>
      <c r="J35" s="2" t="n">
        <v>8.63</v>
      </c>
      <c r="K35" s="2" t="n">
        <v>0.21</v>
      </c>
      <c r="L35" s="2" t="n">
        <v>0.22</v>
      </c>
      <c r="M35" s="2" t="n">
        <v>2.88</v>
      </c>
      <c r="N35" s="2" t="n">
        <v>100</v>
      </c>
      <c r="O35" s="2" t="n">
        <v>1.39</v>
      </c>
    </row>
    <row r="36" customFormat="false" ht="15" hidden="false" customHeight="false" outlineLevel="0" collapsed="false">
      <c r="A36" s="2" t="s">
        <v>161</v>
      </c>
      <c r="B36" s="2" t="n">
        <v>2009</v>
      </c>
      <c r="C36" s="2" t="s">
        <v>85</v>
      </c>
      <c r="D36" s="2" t="s">
        <v>86</v>
      </c>
      <c r="E36" s="2" t="n">
        <v>129</v>
      </c>
      <c r="F36" s="2" t="n">
        <v>0.18</v>
      </c>
      <c r="G36" s="2" t="n">
        <v>1.03</v>
      </c>
      <c r="H36" s="2" t="n">
        <v>0.45</v>
      </c>
      <c r="I36" s="2" t="n">
        <v>0.84</v>
      </c>
      <c r="J36" s="2" t="n">
        <v>6.77</v>
      </c>
      <c r="K36" s="2" t="n">
        <v>0.21</v>
      </c>
      <c r="L36" s="2" t="n">
        <v>0.22</v>
      </c>
      <c r="M36" s="2" t="n">
        <v>2.89</v>
      </c>
      <c r="N36" s="2" t="n">
        <v>153.79</v>
      </c>
      <c r="O36" s="2" t="n">
        <v>2.24</v>
      </c>
    </row>
    <row r="37" customFormat="false" ht="15" hidden="false" customHeight="false" outlineLevel="0" collapsed="false">
      <c r="A37" s="2" t="s">
        <v>164</v>
      </c>
      <c r="B37" s="2" t="n">
        <v>2009</v>
      </c>
      <c r="C37" s="2" t="s">
        <v>85</v>
      </c>
      <c r="D37" s="2" t="s">
        <v>86</v>
      </c>
      <c r="E37" s="2" t="n">
        <v>130</v>
      </c>
      <c r="F37" s="2" t="n">
        <v>0.18</v>
      </c>
      <c r="G37" s="2" t="n">
        <v>1.86</v>
      </c>
      <c r="H37" s="2" t="n">
        <v>0.81</v>
      </c>
      <c r="I37" s="2" t="n">
        <v>0.85</v>
      </c>
      <c r="J37" s="2" t="n">
        <v>5.46</v>
      </c>
      <c r="K37" s="2" t="n">
        <v>0.19</v>
      </c>
      <c r="L37" s="2" t="n">
        <v>0.24</v>
      </c>
      <c r="M37" s="2" t="n">
        <v>4.29</v>
      </c>
      <c r="N37" s="2" t="n">
        <v>100</v>
      </c>
      <c r="O37" s="2" t="n">
        <v>2.26</v>
      </c>
    </row>
    <row r="38" customFormat="false" ht="15" hidden="false" customHeight="false" outlineLevel="0" collapsed="false">
      <c r="A38" s="2" t="s">
        <v>166</v>
      </c>
      <c r="B38" s="2" t="n">
        <v>2009</v>
      </c>
      <c r="C38" s="2" t="s">
        <v>85</v>
      </c>
      <c r="D38" s="2" t="s">
        <v>86</v>
      </c>
      <c r="E38" s="2" t="n">
        <v>131</v>
      </c>
      <c r="F38" s="2" t="n">
        <v>0.17</v>
      </c>
      <c r="G38" s="2" t="n">
        <v>1.78</v>
      </c>
      <c r="H38" s="2" t="n">
        <v>0.76</v>
      </c>
      <c r="I38" s="2" t="n">
        <v>0.85</v>
      </c>
      <c r="J38" s="2" t="n">
        <v>6.15</v>
      </c>
      <c r="K38" s="2" t="n">
        <v>0.19</v>
      </c>
      <c r="L38" s="2" t="n">
        <v>0.23</v>
      </c>
      <c r="M38" s="2" t="n">
        <v>4</v>
      </c>
      <c r="N38" s="2" t="n">
        <v>100</v>
      </c>
      <c r="O38" s="2" t="n">
        <v>2.27</v>
      </c>
    </row>
    <row r="39" customFormat="false" ht="15" hidden="false" customHeight="false" outlineLevel="0" collapsed="false">
      <c r="A39" s="2" t="s">
        <v>168</v>
      </c>
      <c r="B39" s="2" t="n">
        <v>2009</v>
      </c>
      <c r="C39" s="2" t="s">
        <v>85</v>
      </c>
      <c r="D39" s="2" t="s">
        <v>86</v>
      </c>
      <c r="E39" s="2" t="n">
        <v>132</v>
      </c>
      <c r="F39" s="2" t="n">
        <v>0.18</v>
      </c>
      <c r="G39" s="2" t="n">
        <v>1.03</v>
      </c>
      <c r="H39" s="2" t="n">
        <v>0.48</v>
      </c>
      <c r="I39" s="2" t="n">
        <v>0.8</v>
      </c>
      <c r="J39" s="2" t="n">
        <v>6.54</v>
      </c>
      <c r="K39" s="2" t="n">
        <v>0.21</v>
      </c>
      <c r="L39" s="2" t="n">
        <v>0.22</v>
      </c>
      <c r="M39" s="2" t="n">
        <v>2.75</v>
      </c>
      <c r="N39" s="2" t="n">
        <v>349.76</v>
      </c>
      <c r="O39" s="2" t="n">
        <v>4.49</v>
      </c>
    </row>
    <row r="40" customFormat="false" ht="15" hidden="false" customHeight="false" outlineLevel="0" collapsed="false">
      <c r="A40" s="2" t="s">
        <v>170</v>
      </c>
      <c r="B40" s="2" t="n">
        <v>2009</v>
      </c>
      <c r="C40" s="2" t="s">
        <v>85</v>
      </c>
      <c r="D40" s="2" t="s">
        <v>86</v>
      </c>
      <c r="E40" s="2" t="n">
        <v>134</v>
      </c>
      <c r="F40" s="2" t="n">
        <v>0.19</v>
      </c>
      <c r="G40" s="2" t="n">
        <v>1.1</v>
      </c>
      <c r="H40" s="2" t="n">
        <v>0.3</v>
      </c>
      <c r="I40" s="2" t="n">
        <v>0.87</v>
      </c>
      <c r="J40" s="2" t="n">
        <v>9.92</v>
      </c>
      <c r="K40" s="2" t="n">
        <v>0.22</v>
      </c>
      <c r="L40" s="2" t="n">
        <v>0.23</v>
      </c>
      <c r="M40" s="2" t="n">
        <v>2.72</v>
      </c>
      <c r="N40" s="2" t="n">
        <v>275.88</v>
      </c>
      <c r="O40" s="2" t="n">
        <v>1.75</v>
      </c>
    </row>
    <row r="41" customFormat="false" ht="15" hidden="false" customHeight="false" outlineLevel="0" collapsed="false">
      <c r="A41" s="2" t="s">
        <v>172</v>
      </c>
      <c r="B41" s="2" t="n">
        <v>2009</v>
      </c>
      <c r="C41" s="2" t="s">
        <v>85</v>
      </c>
      <c r="D41" s="2" t="s">
        <v>86</v>
      </c>
      <c r="E41" s="2" t="n">
        <v>135</v>
      </c>
      <c r="F41" s="2" t="n">
        <v>0.18</v>
      </c>
      <c r="G41" s="2" t="n">
        <v>1.8</v>
      </c>
      <c r="H41" s="2" t="n">
        <v>0.78</v>
      </c>
      <c r="I41" s="2" t="n">
        <v>0.88</v>
      </c>
      <c r="J41" s="2" t="n">
        <v>7.11</v>
      </c>
      <c r="K41" s="2" t="n">
        <v>0.19</v>
      </c>
      <c r="L41" s="2" t="n">
        <v>0.23</v>
      </c>
      <c r="M41" s="2" t="n">
        <v>3.7</v>
      </c>
      <c r="N41" s="2" t="n">
        <v>100</v>
      </c>
      <c r="O41" s="2" t="n">
        <v>2.56</v>
      </c>
    </row>
    <row r="42" customFormat="false" ht="15" hidden="false" customHeight="false" outlineLevel="0" collapsed="false">
      <c r="A42" s="2" t="s">
        <v>174</v>
      </c>
      <c r="B42" s="2" t="n">
        <v>2009</v>
      </c>
      <c r="C42" s="2" t="s">
        <v>85</v>
      </c>
      <c r="D42" s="2" t="s">
        <v>86</v>
      </c>
      <c r="E42" s="2" t="n">
        <v>137</v>
      </c>
      <c r="F42" s="2" t="n">
        <v>0.18</v>
      </c>
      <c r="G42" s="2" t="n">
        <v>1.59</v>
      </c>
      <c r="H42" s="2" t="n">
        <v>0.56</v>
      </c>
      <c r="I42" s="2" t="n">
        <v>0.82</v>
      </c>
      <c r="J42" s="2" t="n">
        <v>5.72</v>
      </c>
      <c r="K42" s="2" t="n">
        <v>0.2</v>
      </c>
      <c r="L42" s="2" t="n">
        <v>0.24</v>
      </c>
      <c r="M42" s="2" t="n">
        <v>4.53</v>
      </c>
      <c r="N42" s="2" t="n">
        <v>24.37</v>
      </c>
      <c r="O42" s="2" t="n">
        <v>3.43</v>
      </c>
    </row>
    <row r="43" customFormat="false" ht="15" hidden="false" customHeight="false" outlineLevel="0" collapsed="false">
      <c r="A43" s="2" t="s">
        <v>176</v>
      </c>
      <c r="B43" s="2" t="n">
        <v>2009</v>
      </c>
      <c r="C43" s="2" t="s">
        <v>85</v>
      </c>
      <c r="D43" s="2" t="s">
        <v>86</v>
      </c>
      <c r="E43" s="2" t="n">
        <v>153</v>
      </c>
      <c r="F43" s="2" t="n">
        <v>0.18</v>
      </c>
      <c r="G43" s="2" t="n">
        <v>1.52</v>
      </c>
      <c r="H43" s="2" t="n">
        <v>0.4</v>
      </c>
      <c r="I43" s="2" t="n">
        <v>0.89</v>
      </c>
      <c r="J43" s="2" t="n">
        <v>7.54</v>
      </c>
      <c r="K43" s="2" t="n">
        <v>0.2</v>
      </c>
      <c r="L43" s="2" t="n">
        <v>0.23</v>
      </c>
      <c r="M43" s="2" t="n">
        <v>4.32</v>
      </c>
      <c r="N43" s="2" t="n">
        <v>99.85</v>
      </c>
      <c r="O43" s="2" t="n">
        <v>1.94</v>
      </c>
    </row>
    <row r="44" customFormat="false" ht="15" hidden="false" customHeight="false" outlineLevel="0" collapsed="false">
      <c r="A44" s="2" t="s">
        <v>178</v>
      </c>
      <c r="B44" s="2" t="n">
        <v>2009</v>
      </c>
      <c r="C44" s="2" t="s">
        <v>85</v>
      </c>
      <c r="D44" s="2" t="s">
        <v>86</v>
      </c>
      <c r="E44" s="2" t="n">
        <v>154</v>
      </c>
      <c r="F44" s="2" t="n">
        <v>0.18</v>
      </c>
      <c r="G44" s="2" t="n">
        <v>0.9</v>
      </c>
      <c r="H44" s="2" t="n">
        <v>0.41</v>
      </c>
      <c r="I44" s="2" t="n">
        <v>0.82</v>
      </c>
      <c r="J44" s="2" t="n">
        <v>7.16</v>
      </c>
      <c r="K44" s="2" t="n">
        <v>0.22</v>
      </c>
      <c r="L44" s="2" t="n">
        <v>0.22</v>
      </c>
      <c r="M44" s="2" t="n">
        <v>2.86</v>
      </c>
      <c r="N44" s="2" t="n">
        <v>100</v>
      </c>
      <c r="O44" s="2" t="n">
        <v>1.57</v>
      </c>
    </row>
    <row r="45" customFormat="false" ht="15" hidden="false" customHeight="false" outlineLevel="0" collapsed="false">
      <c r="A45" s="2" t="s">
        <v>180</v>
      </c>
      <c r="B45" s="2" t="n">
        <v>2009</v>
      </c>
      <c r="C45" s="2" t="s">
        <v>85</v>
      </c>
      <c r="D45" s="2" t="s">
        <v>86</v>
      </c>
      <c r="E45" s="2" t="n">
        <v>155</v>
      </c>
      <c r="F45" s="2" t="n">
        <v>0.18</v>
      </c>
      <c r="G45" s="2" t="n">
        <v>1.16</v>
      </c>
      <c r="H45" s="2" t="n">
        <v>0.48</v>
      </c>
      <c r="I45" s="2" t="n">
        <v>0.85</v>
      </c>
      <c r="J45" s="2" t="n">
        <v>8.54</v>
      </c>
      <c r="K45" s="2" t="n">
        <v>0.21</v>
      </c>
      <c r="L45" s="2" t="n">
        <v>0.22</v>
      </c>
      <c r="M45" s="2" t="n">
        <v>2.83</v>
      </c>
      <c r="N45" s="2" t="n">
        <v>100</v>
      </c>
      <c r="O45" s="2" t="n">
        <v>1.79</v>
      </c>
    </row>
    <row r="46" customFormat="false" ht="15" hidden="false" customHeight="false" outlineLevel="0" collapsed="false">
      <c r="A46" s="2" t="s">
        <v>182</v>
      </c>
      <c r="B46" s="2" t="n">
        <v>2009</v>
      </c>
      <c r="C46" s="2" t="s">
        <v>85</v>
      </c>
      <c r="D46" s="2" t="s">
        <v>86</v>
      </c>
      <c r="E46" s="2" t="n">
        <v>156</v>
      </c>
      <c r="F46" s="2" t="n">
        <v>0.18</v>
      </c>
      <c r="G46" s="2" t="n">
        <v>1.09</v>
      </c>
      <c r="H46" s="2" t="n">
        <v>0.42</v>
      </c>
      <c r="I46" s="2" t="n">
        <v>0.89</v>
      </c>
      <c r="J46" s="2" t="n">
        <v>6.76</v>
      </c>
      <c r="K46" s="2" t="n">
        <v>0.22</v>
      </c>
      <c r="L46" s="2" t="n">
        <v>0.22</v>
      </c>
      <c r="M46" s="2" t="n">
        <v>2.97</v>
      </c>
      <c r="N46" s="2" t="n">
        <v>100</v>
      </c>
      <c r="O46" s="2" t="n">
        <v>1.48</v>
      </c>
    </row>
    <row r="47" customFormat="false" ht="15" hidden="false" customHeight="false" outlineLevel="0" collapsed="false">
      <c r="A47" s="2" t="s">
        <v>184</v>
      </c>
      <c r="B47" s="2" t="n">
        <v>2009</v>
      </c>
      <c r="C47" s="2" t="s">
        <v>85</v>
      </c>
      <c r="D47" s="2" t="s">
        <v>86</v>
      </c>
      <c r="E47" s="2" t="n">
        <v>157</v>
      </c>
      <c r="F47" s="2" t="n">
        <v>0.18</v>
      </c>
      <c r="G47" s="2" t="n">
        <v>1.08</v>
      </c>
      <c r="H47" s="2" t="n">
        <v>0.44</v>
      </c>
      <c r="I47" s="2" t="n">
        <v>0.87</v>
      </c>
      <c r="J47" s="2" t="n">
        <v>7.6</v>
      </c>
      <c r="K47" s="2" t="n">
        <v>0.21</v>
      </c>
      <c r="L47" s="2" t="n">
        <v>0.22</v>
      </c>
      <c r="M47" s="2" t="n">
        <v>3.29</v>
      </c>
      <c r="N47" s="2" t="n">
        <v>606.86</v>
      </c>
      <c r="O47" s="2" t="n">
        <v>1.47</v>
      </c>
    </row>
    <row r="48" customFormat="false" ht="15" hidden="false" customHeight="false" outlineLevel="0" collapsed="false">
      <c r="A48" s="2" t="s">
        <v>186</v>
      </c>
      <c r="B48" s="2" t="n">
        <v>2009</v>
      </c>
      <c r="C48" s="2" t="s">
        <v>187</v>
      </c>
      <c r="D48" s="2" t="s">
        <v>188</v>
      </c>
      <c r="E48" s="2" t="n">
        <v>186</v>
      </c>
      <c r="F48" s="2" t="n">
        <v>0.18</v>
      </c>
      <c r="G48" s="2" t="n">
        <v>0.89</v>
      </c>
      <c r="H48" s="2" t="n">
        <v>0.42</v>
      </c>
      <c r="I48" s="2" t="n">
        <v>0.82</v>
      </c>
      <c r="J48" s="2" t="n">
        <v>6.85</v>
      </c>
      <c r="K48" s="2" t="n">
        <v>0.21</v>
      </c>
      <c r="L48" s="2" t="n">
        <v>0.22</v>
      </c>
      <c r="M48" s="2" t="n">
        <v>2.89</v>
      </c>
      <c r="N48" s="2" t="n">
        <v>668.17</v>
      </c>
      <c r="O48" s="2" t="n">
        <v>2.25</v>
      </c>
    </row>
    <row r="49" customFormat="false" ht="15" hidden="false" customHeight="false" outlineLevel="0" collapsed="false">
      <c r="A49" s="2" t="s">
        <v>190</v>
      </c>
      <c r="B49" s="2" t="n">
        <v>2009</v>
      </c>
      <c r="C49" s="2" t="s">
        <v>187</v>
      </c>
      <c r="D49" s="2" t="s">
        <v>188</v>
      </c>
      <c r="E49" s="2" t="n">
        <v>187</v>
      </c>
      <c r="F49" s="2" t="n">
        <v>0.19</v>
      </c>
      <c r="G49" s="2" t="n">
        <v>0.8</v>
      </c>
      <c r="H49" s="2" t="n">
        <v>0.43</v>
      </c>
      <c r="I49" s="2" t="n">
        <v>0.81</v>
      </c>
      <c r="J49" s="2" t="n">
        <v>6.92</v>
      </c>
      <c r="K49" s="2" t="n">
        <v>0.22</v>
      </c>
      <c r="L49" s="2" t="n">
        <v>0.22</v>
      </c>
      <c r="M49" s="2" t="n">
        <v>2.82</v>
      </c>
      <c r="N49" s="2" t="n">
        <v>100</v>
      </c>
      <c r="O49" s="2" t="n">
        <v>2.56</v>
      </c>
    </row>
    <row r="50" customFormat="false" ht="15" hidden="false" customHeight="false" outlineLevel="0" collapsed="false">
      <c r="A50" s="2" t="s">
        <v>192</v>
      </c>
      <c r="B50" s="2" t="n">
        <v>2009</v>
      </c>
      <c r="C50" s="2" t="s">
        <v>187</v>
      </c>
      <c r="D50" s="2" t="s">
        <v>188</v>
      </c>
      <c r="E50" s="2" t="n">
        <v>188</v>
      </c>
      <c r="F50" s="2" t="n">
        <v>0.18</v>
      </c>
      <c r="G50" s="2" t="n">
        <v>1.29</v>
      </c>
      <c r="H50" s="2" t="n">
        <v>0.61</v>
      </c>
      <c r="I50" s="2" t="n">
        <v>0.8</v>
      </c>
      <c r="J50" s="2" t="n">
        <v>6</v>
      </c>
      <c r="K50" s="2" t="n">
        <v>0.2</v>
      </c>
      <c r="L50" s="2" t="n">
        <v>0.23</v>
      </c>
      <c r="M50" s="2" t="n">
        <v>3.85</v>
      </c>
      <c r="N50" s="2" t="n">
        <v>100</v>
      </c>
      <c r="O50" s="2" t="n">
        <v>3.29</v>
      </c>
    </row>
    <row r="51" customFormat="false" ht="15" hidden="false" customHeight="false" outlineLevel="0" collapsed="false">
      <c r="A51" s="2" t="s">
        <v>194</v>
      </c>
      <c r="B51" s="2" t="n">
        <v>2009</v>
      </c>
      <c r="C51" s="2" t="s">
        <v>187</v>
      </c>
      <c r="D51" s="2" t="s">
        <v>188</v>
      </c>
      <c r="E51" s="2" t="n">
        <v>189</v>
      </c>
      <c r="F51" s="2" t="n">
        <v>0.18</v>
      </c>
      <c r="G51" s="2" t="n">
        <v>1.57</v>
      </c>
      <c r="H51" s="2" t="n">
        <v>0.79</v>
      </c>
      <c r="I51" s="2" t="n">
        <v>0.83</v>
      </c>
      <c r="J51" s="2" t="n">
        <v>5.89</v>
      </c>
      <c r="K51" s="2" t="n">
        <v>0.19</v>
      </c>
      <c r="L51" s="2" t="n">
        <v>0.24</v>
      </c>
      <c r="M51" s="2" t="n">
        <v>4.93</v>
      </c>
      <c r="N51" s="2" t="n">
        <v>92.94</v>
      </c>
      <c r="O51" s="2" t="n">
        <v>2.54</v>
      </c>
    </row>
    <row r="52" customFormat="false" ht="15" hidden="false" customHeight="false" outlineLevel="0" collapsed="false">
      <c r="A52" s="2" t="s">
        <v>196</v>
      </c>
      <c r="B52" s="2" t="n">
        <v>2009</v>
      </c>
      <c r="C52" s="2" t="s">
        <v>187</v>
      </c>
      <c r="D52" s="2" t="s">
        <v>188</v>
      </c>
      <c r="E52" s="2" t="n">
        <v>190</v>
      </c>
      <c r="F52" s="2" t="n">
        <v>0.18</v>
      </c>
      <c r="G52" s="2" t="n">
        <v>0.86</v>
      </c>
      <c r="H52" s="2" t="n">
        <v>0.41</v>
      </c>
      <c r="I52" s="2" t="n">
        <v>0.83</v>
      </c>
      <c r="J52" s="2" t="n">
        <v>7.59</v>
      </c>
      <c r="K52" s="2" t="n">
        <v>0.21</v>
      </c>
      <c r="L52" s="2" t="n">
        <v>0.22</v>
      </c>
      <c r="M52" s="2" t="n">
        <v>2.72</v>
      </c>
      <c r="N52" s="2" t="n">
        <v>325.34</v>
      </c>
      <c r="O52" s="2" t="n">
        <v>1.78</v>
      </c>
    </row>
    <row r="53" customFormat="false" ht="15" hidden="false" customHeight="false" outlineLevel="0" collapsed="false">
      <c r="A53" s="2" t="s">
        <v>198</v>
      </c>
      <c r="B53" s="2" t="n">
        <v>2009</v>
      </c>
      <c r="C53" s="2" t="s">
        <v>187</v>
      </c>
      <c r="D53" s="2" t="s">
        <v>188</v>
      </c>
      <c r="E53" s="2" t="n">
        <v>191</v>
      </c>
      <c r="F53" s="2" t="n">
        <v>0.18</v>
      </c>
      <c r="G53" s="2" t="n">
        <v>0.97</v>
      </c>
      <c r="H53" s="2" t="n">
        <v>0.45</v>
      </c>
      <c r="I53" s="2" t="n">
        <v>0.86</v>
      </c>
      <c r="J53" s="2" t="n">
        <v>7.12</v>
      </c>
      <c r="K53" s="2" t="n">
        <v>0.21</v>
      </c>
      <c r="L53" s="2" t="n">
        <v>0.22</v>
      </c>
      <c r="M53" s="2" t="n">
        <v>3.24</v>
      </c>
      <c r="N53" s="2" t="n">
        <v>7.99</v>
      </c>
      <c r="O53" s="2" t="n">
        <v>1.51</v>
      </c>
    </row>
    <row r="54" customFormat="false" ht="15" hidden="false" customHeight="false" outlineLevel="0" collapsed="false">
      <c r="A54" s="2" t="s">
        <v>200</v>
      </c>
      <c r="B54" s="2" t="n">
        <v>2009</v>
      </c>
      <c r="C54" s="2" t="s">
        <v>187</v>
      </c>
      <c r="D54" s="2" t="s">
        <v>188</v>
      </c>
      <c r="E54" s="2" t="n">
        <v>192</v>
      </c>
      <c r="F54" s="2" t="n">
        <v>0.18</v>
      </c>
      <c r="G54" s="2" t="n">
        <v>0.94</v>
      </c>
      <c r="H54" s="2" t="n">
        <v>0.46</v>
      </c>
      <c r="I54" s="2" t="n">
        <v>0.82</v>
      </c>
      <c r="J54" s="2" t="n">
        <v>7.48</v>
      </c>
      <c r="K54" s="2" t="n">
        <v>0.21</v>
      </c>
      <c r="L54" s="2" t="n">
        <v>0.22</v>
      </c>
      <c r="M54" s="2" t="n">
        <v>3.09</v>
      </c>
      <c r="N54" s="2" t="n">
        <v>100</v>
      </c>
      <c r="O54" s="2" t="n">
        <v>2.55</v>
      </c>
    </row>
    <row r="55" customFormat="false" ht="15" hidden="false" customHeight="false" outlineLevel="0" collapsed="false">
      <c r="A55" s="2" t="s">
        <v>202</v>
      </c>
      <c r="B55" s="2" t="n">
        <v>2009</v>
      </c>
      <c r="C55" s="2" t="s">
        <v>187</v>
      </c>
      <c r="D55" s="2" t="s">
        <v>188</v>
      </c>
      <c r="E55" s="2" t="n">
        <v>193</v>
      </c>
      <c r="F55" s="2" t="n">
        <v>0.18</v>
      </c>
      <c r="G55" s="2" t="n">
        <v>1.27</v>
      </c>
      <c r="H55" s="2" t="n">
        <v>0.53</v>
      </c>
      <c r="I55" s="2" t="n">
        <v>0.88</v>
      </c>
      <c r="J55" s="2" t="n">
        <v>7.46</v>
      </c>
      <c r="K55" s="2" t="n">
        <v>0.21</v>
      </c>
      <c r="L55" s="2" t="n">
        <v>0.22</v>
      </c>
      <c r="M55" s="2" t="n">
        <v>3.03</v>
      </c>
      <c r="N55" s="2" t="n">
        <v>100</v>
      </c>
      <c r="O55" s="2" t="n">
        <v>1.96</v>
      </c>
    </row>
    <row r="56" customFormat="false" ht="15" hidden="false" customHeight="false" outlineLevel="0" collapsed="false">
      <c r="A56" s="2" t="s">
        <v>204</v>
      </c>
      <c r="B56" s="2" t="n">
        <v>2009</v>
      </c>
      <c r="C56" s="2" t="s">
        <v>187</v>
      </c>
      <c r="D56" s="2" t="s">
        <v>188</v>
      </c>
      <c r="E56" s="2" t="n">
        <v>194</v>
      </c>
      <c r="F56" s="2" t="n">
        <v>0.18</v>
      </c>
      <c r="G56" s="2" t="n">
        <v>0.91</v>
      </c>
      <c r="H56" s="2" t="n">
        <v>0.46</v>
      </c>
      <c r="I56" s="2" t="n">
        <v>0.81</v>
      </c>
      <c r="J56" s="2" t="n">
        <v>7.21</v>
      </c>
      <c r="K56" s="2" t="n">
        <v>0.21</v>
      </c>
      <c r="L56" s="2" t="n">
        <v>0.22</v>
      </c>
      <c r="M56" s="2" t="n">
        <v>3.31</v>
      </c>
      <c r="N56" s="2" t="n">
        <v>100</v>
      </c>
      <c r="O56" s="2" t="n">
        <v>3.75</v>
      </c>
    </row>
    <row r="57" customFormat="false" ht="15" hidden="false" customHeight="false" outlineLevel="0" collapsed="false">
      <c r="A57" s="2" t="s">
        <v>206</v>
      </c>
      <c r="B57" s="2" t="n">
        <v>2009</v>
      </c>
      <c r="C57" s="2" t="s">
        <v>187</v>
      </c>
      <c r="D57" s="2" t="s">
        <v>188</v>
      </c>
      <c r="E57" s="2" t="n">
        <v>195</v>
      </c>
      <c r="F57" s="2" t="n">
        <v>0.18</v>
      </c>
      <c r="G57" s="2" t="n">
        <v>1.4</v>
      </c>
      <c r="H57" s="2" t="n">
        <v>0.65</v>
      </c>
      <c r="I57" s="2" t="n">
        <v>0.83</v>
      </c>
      <c r="J57" s="2" t="n">
        <v>5.52</v>
      </c>
      <c r="K57" s="2" t="n">
        <v>0.2</v>
      </c>
      <c r="L57" s="2" t="n">
        <v>0.22</v>
      </c>
      <c r="M57" s="2" t="n">
        <v>3.74</v>
      </c>
      <c r="N57" s="2" t="n">
        <v>100</v>
      </c>
      <c r="O57" s="2" t="n">
        <v>2.67</v>
      </c>
    </row>
    <row r="58" customFormat="false" ht="15" hidden="false" customHeight="false" outlineLevel="0" collapsed="false">
      <c r="A58" s="2" t="s">
        <v>208</v>
      </c>
      <c r="B58" s="2" t="n">
        <v>2009</v>
      </c>
      <c r="C58" s="2" t="s">
        <v>187</v>
      </c>
      <c r="D58" s="2" t="s">
        <v>188</v>
      </c>
      <c r="E58" s="2" t="n">
        <v>196</v>
      </c>
      <c r="F58" s="2" t="n">
        <v>0.18</v>
      </c>
      <c r="G58" s="2" t="n">
        <v>1.65</v>
      </c>
      <c r="H58" s="2" t="n">
        <v>0.76</v>
      </c>
      <c r="I58" s="2" t="n">
        <v>0.89</v>
      </c>
      <c r="J58" s="2" t="n">
        <v>6.51</v>
      </c>
      <c r="K58" s="2" t="n">
        <v>0.19</v>
      </c>
      <c r="L58" s="2" t="n">
        <v>0.23</v>
      </c>
      <c r="M58" s="2" t="n">
        <v>3.95</v>
      </c>
      <c r="N58" s="2" t="n">
        <v>100</v>
      </c>
      <c r="O58" s="2" t="n">
        <v>2.13</v>
      </c>
    </row>
    <row r="59" customFormat="false" ht="15" hidden="false" customHeight="false" outlineLevel="0" collapsed="false">
      <c r="A59" s="2" t="s">
        <v>210</v>
      </c>
      <c r="B59" s="2" t="n">
        <v>2009</v>
      </c>
      <c r="C59" s="2" t="s">
        <v>187</v>
      </c>
      <c r="D59" s="2" t="s">
        <v>188</v>
      </c>
      <c r="E59" s="2" t="n">
        <v>197</v>
      </c>
      <c r="F59" s="2" t="n">
        <v>0.18</v>
      </c>
      <c r="G59" s="2" t="n">
        <v>0.97</v>
      </c>
      <c r="H59" s="2" t="n">
        <v>0.47</v>
      </c>
      <c r="I59" s="2" t="n">
        <v>0.84</v>
      </c>
      <c r="J59" s="2" t="n">
        <v>7.15</v>
      </c>
      <c r="K59" s="2" t="n">
        <v>0.21</v>
      </c>
      <c r="L59" s="2" t="n">
        <v>0.22</v>
      </c>
      <c r="M59" s="2" t="n">
        <v>2.86</v>
      </c>
      <c r="N59" s="2" t="n">
        <v>100</v>
      </c>
      <c r="O59" s="2" t="n">
        <v>1.99</v>
      </c>
    </row>
    <row r="60" customFormat="false" ht="15" hidden="false" customHeight="false" outlineLevel="0" collapsed="false">
      <c r="A60" s="2" t="s">
        <v>212</v>
      </c>
      <c r="B60" s="2" t="n">
        <v>2009</v>
      </c>
      <c r="C60" s="2" t="s">
        <v>187</v>
      </c>
      <c r="D60" s="2" t="s">
        <v>188</v>
      </c>
      <c r="E60" s="2" t="n">
        <v>198</v>
      </c>
      <c r="F60" s="2" t="n">
        <v>0.18</v>
      </c>
      <c r="G60" s="2" t="n">
        <v>0.9</v>
      </c>
      <c r="H60" s="2" t="n">
        <v>0.61</v>
      </c>
      <c r="I60" s="2" t="n">
        <v>0.66</v>
      </c>
      <c r="J60" s="2" t="n">
        <v>5.04</v>
      </c>
      <c r="K60" s="2" t="n">
        <v>0.23</v>
      </c>
      <c r="L60" s="2" t="n">
        <v>0.22</v>
      </c>
      <c r="M60" s="2" t="n">
        <v>2.5</v>
      </c>
      <c r="N60" s="2" t="n">
        <v>100</v>
      </c>
      <c r="O60" s="2" t="n">
        <v>120.58</v>
      </c>
    </row>
    <row r="61" customFormat="false" ht="15" hidden="false" customHeight="false" outlineLevel="0" collapsed="false">
      <c r="A61" s="2" t="s">
        <v>214</v>
      </c>
      <c r="B61" s="2" t="n">
        <v>2009</v>
      </c>
      <c r="C61" s="2" t="s">
        <v>187</v>
      </c>
      <c r="D61" s="2" t="s">
        <v>188</v>
      </c>
      <c r="E61" s="2" t="n">
        <v>199</v>
      </c>
      <c r="F61" s="2" t="n">
        <v>0.18</v>
      </c>
      <c r="G61" s="2" t="n">
        <v>1.25</v>
      </c>
      <c r="H61" s="2" t="n">
        <v>0.82</v>
      </c>
      <c r="I61" s="2" t="n">
        <v>0.72</v>
      </c>
      <c r="J61" s="2" t="n">
        <v>4.25</v>
      </c>
      <c r="K61" s="2" t="n">
        <v>0.22</v>
      </c>
      <c r="L61" s="2" t="n">
        <v>0.22</v>
      </c>
      <c r="M61" s="2" t="n">
        <v>2.46</v>
      </c>
      <c r="N61" s="2" t="n">
        <v>100</v>
      </c>
      <c r="O61" s="2" t="n">
        <v>422.57</v>
      </c>
    </row>
    <row r="62" customFormat="false" ht="15" hidden="false" customHeight="false" outlineLevel="0" collapsed="false">
      <c r="A62" s="2" t="s">
        <v>216</v>
      </c>
      <c r="B62" s="2" t="n">
        <v>2009</v>
      </c>
      <c r="C62" s="2" t="s">
        <v>187</v>
      </c>
      <c r="D62" s="2" t="s">
        <v>188</v>
      </c>
      <c r="E62" s="2" t="n">
        <v>200</v>
      </c>
      <c r="F62" s="2" t="n">
        <v>0.18</v>
      </c>
      <c r="G62" s="2" t="n">
        <v>1.26</v>
      </c>
      <c r="H62" s="2" t="n">
        <v>0.61</v>
      </c>
      <c r="I62" s="2" t="n">
        <v>0.82</v>
      </c>
      <c r="J62" s="2" t="n">
        <v>6.92</v>
      </c>
      <c r="K62" s="2" t="n">
        <v>0.2</v>
      </c>
      <c r="L62" s="2" t="n">
        <v>0.22</v>
      </c>
      <c r="M62" s="2" t="n">
        <v>3.76</v>
      </c>
      <c r="N62" s="2" t="n">
        <v>100</v>
      </c>
      <c r="O62" s="2" t="n">
        <v>4.23</v>
      </c>
    </row>
    <row r="63" customFormat="false" ht="15" hidden="false" customHeight="false" outlineLevel="0" collapsed="false">
      <c r="A63" s="2" t="s">
        <v>218</v>
      </c>
      <c r="B63" s="2" t="n">
        <v>2009</v>
      </c>
      <c r="C63" s="2" t="s">
        <v>187</v>
      </c>
      <c r="D63" s="2" t="s">
        <v>188</v>
      </c>
      <c r="E63" s="2" t="n">
        <v>201</v>
      </c>
      <c r="F63" s="2" t="n">
        <v>0.18</v>
      </c>
      <c r="G63" s="2" t="n">
        <v>1.76</v>
      </c>
      <c r="H63" s="2" t="n">
        <v>0.63</v>
      </c>
      <c r="I63" s="2" t="n">
        <v>0.85</v>
      </c>
      <c r="J63" s="2" t="n">
        <v>6.3</v>
      </c>
      <c r="K63" s="2" t="n">
        <v>0.19</v>
      </c>
      <c r="L63" s="2" t="n">
        <v>0.23</v>
      </c>
      <c r="M63" s="2" t="n">
        <v>4.32</v>
      </c>
      <c r="N63" s="2" t="n">
        <v>773.71</v>
      </c>
      <c r="O63" s="2" t="n">
        <v>2.04</v>
      </c>
    </row>
    <row r="64" customFormat="false" ht="15" hidden="false" customHeight="false" outlineLevel="0" collapsed="false">
      <c r="A64" s="2" t="s">
        <v>220</v>
      </c>
      <c r="B64" s="2" t="n">
        <v>2009</v>
      </c>
      <c r="C64" s="2" t="s">
        <v>187</v>
      </c>
      <c r="D64" s="2" t="s">
        <v>188</v>
      </c>
      <c r="E64" s="2" t="n">
        <v>202</v>
      </c>
      <c r="F64" s="2" t="n">
        <v>0.18</v>
      </c>
      <c r="G64" s="2" t="n">
        <v>1.03</v>
      </c>
      <c r="H64" s="2" t="n">
        <v>0.45</v>
      </c>
      <c r="I64" s="2" t="n">
        <v>0.87</v>
      </c>
      <c r="J64" s="2" t="n">
        <v>8.39</v>
      </c>
      <c r="K64" s="2" t="n">
        <v>0.21</v>
      </c>
      <c r="L64" s="2" t="n">
        <v>0.22</v>
      </c>
      <c r="M64" s="2" t="n">
        <v>2.85</v>
      </c>
      <c r="N64" s="2" t="n">
        <v>100</v>
      </c>
      <c r="O64" s="2" t="n">
        <v>1.37</v>
      </c>
    </row>
    <row r="65" customFormat="false" ht="15" hidden="false" customHeight="false" outlineLevel="0" collapsed="false">
      <c r="A65" s="2" t="s">
        <v>222</v>
      </c>
      <c r="B65" s="2" t="n">
        <v>2009</v>
      </c>
      <c r="C65" s="2" t="s">
        <v>187</v>
      </c>
      <c r="D65" s="2" t="s">
        <v>188</v>
      </c>
      <c r="E65" s="2" t="n">
        <v>203</v>
      </c>
      <c r="F65" s="2" t="n">
        <v>0.18</v>
      </c>
      <c r="G65" s="2" t="n">
        <v>1.76</v>
      </c>
      <c r="H65" s="2" t="n">
        <v>0.76</v>
      </c>
      <c r="I65" s="2" t="n">
        <v>0.86</v>
      </c>
      <c r="J65" s="2" t="n">
        <v>5.85</v>
      </c>
      <c r="K65" s="2" t="n">
        <v>0.19</v>
      </c>
      <c r="L65" s="2" t="n">
        <v>0.23</v>
      </c>
      <c r="M65" s="2" t="n">
        <v>3.89</v>
      </c>
      <c r="N65" s="2" t="n">
        <v>100</v>
      </c>
      <c r="O65" s="2" t="n">
        <v>2.77</v>
      </c>
    </row>
    <row r="66" customFormat="false" ht="15" hidden="false" customHeight="false" outlineLevel="0" collapsed="false">
      <c r="A66" s="2" t="s">
        <v>224</v>
      </c>
      <c r="B66" s="2" t="n">
        <v>2009</v>
      </c>
      <c r="C66" s="2" t="s">
        <v>187</v>
      </c>
      <c r="D66" s="2" t="s">
        <v>188</v>
      </c>
      <c r="E66" s="2" t="n">
        <v>204</v>
      </c>
      <c r="F66" s="2" t="n">
        <v>0.18</v>
      </c>
      <c r="G66" s="2" t="n">
        <v>1.63</v>
      </c>
      <c r="H66" s="2" t="n">
        <v>0.77</v>
      </c>
      <c r="I66" s="2" t="n">
        <v>0.86</v>
      </c>
      <c r="J66" s="2" t="n">
        <v>6.6</v>
      </c>
      <c r="K66" s="2" t="n">
        <v>0.19</v>
      </c>
      <c r="L66" s="2" t="n">
        <v>0.23</v>
      </c>
      <c r="M66" s="2" t="n">
        <v>4.02</v>
      </c>
      <c r="N66" s="2" t="n">
        <v>511.88</v>
      </c>
      <c r="O66" s="2" t="n">
        <v>2.9</v>
      </c>
    </row>
    <row r="67" customFormat="false" ht="15" hidden="false" customHeight="false" outlineLevel="0" collapsed="false">
      <c r="A67" s="2" t="s">
        <v>226</v>
      </c>
      <c r="B67" s="2" t="n">
        <v>2009</v>
      </c>
      <c r="C67" s="2" t="s">
        <v>187</v>
      </c>
      <c r="D67" s="2" t="s">
        <v>188</v>
      </c>
      <c r="E67" s="2" t="n">
        <v>205</v>
      </c>
      <c r="F67" s="2" t="n">
        <v>0.18</v>
      </c>
      <c r="G67" s="2" t="n">
        <v>1.16</v>
      </c>
      <c r="H67" s="2" t="n">
        <v>0.51</v>
      </c>
      <c r="I67" s="2" t="n">
        <v>0.85</v>
      </c>
      <c r="J67" s="2" t="n">
        <v>6.69</v>
      </c>
      <c r="K67" s="2" t="n">
        <v>0.21</v>
      </c>
      <c r="L67" s="2" t="n">
        <v>0.22</v>
      </c>
      <c r="M67" s="2" t="n">
        <v>3.46</v>
      </c>
      <c r="N67" s="2" t="n">
        <v>102.66</v>
      </c>
      <c r="O67" s="2" t="n">
        <v>2.11</v>
      </c>
    </row>
    <row r="68" customFormat="false" ht="15" hidden="false" customHeight="false" outlineLevel="0" collapsed="false">
      <c r="A68" s="2" t="s">
        <v>228</v>
      </c>
      <c r="B68" s="2" t="n">
        <v>2009</v>
      </c>
      <c r="C68" s="2" t="s">
        <v>187</v>
      </c>
      <c r="D68" s="2" t="s">
        <v>188</v>
      </c>
      <c r="E68" s="2" t="n">
        <v>206</v>
      </c>
      <c r="F68" s="2" t="n">
        <v>0.18</v>
      </c>
      <c r="G68" s="2" t="n">
        <v>1.11</v>
      </c>
      <c r="H68" s="2" t="n">
        <v>0.5</v>
      </c>
      <c r="I68" s="2" t="n">
        <v>0.86</v>
      </c>
      <c r="J68" s="2" t="n">
        <v>8.15</v>
      </c>
      <c r="K68" s="2" t="n">
        <v>0.21</v>
      </c>
      <c r="L68" s="2" t="n">
        <v>0.22</v>
      </c>
      <c r="M68" s="2" t="n">
        <v>3.1</v>
      </c>
      <c r="N68" s="2" t="n">
        <v>100</v>
      </c>
      <c r="O68" s="2" t="n">
        <v>2.11</v>
      </c>
    </row>
    <row r="69" customFormat="false" ht="15" hidden="false" customHeight="false" outlineLevel="0" collapsed="false">
      <c r="A69" s="2" t="s">
        <v>230</v>
      </c>
      <c r="B69" s="2" t="n">
        <v>2009</v>
      </c>
      <c r="C69" s="2" t="s">
        <v>187</v>
      </c>
      <c r="D69" s="2" t="s">
        <v>188</v>
      </c>
      <c r="E69" s="2" t="n">
        <v>207</v>
      </c>
      <c r="F69" s="2" t="n">
        <v>0.18</v>
      </c>
      <c r="G69" s="2" t="n">
        <v>1.48</v>
      </c>
      <c r="H69" s="2" t="n">
        <v>0.73</v>
      </c>
      <c r="I69" s="2" t="n">
        <v>0.81</v>
      </c>
      <c r="J69" s="2" t="n">
        <v>5.6</v>
      </c>
      <c r="K69" s="2" t="n">
        <v>0.19</v>
      </c>
      <c r="L69" s="2" t="n">
        <v>0.23</v>
      </c>
      <c r="M69" s="2" t="n">
        <v>4.15</v>
      </c>
      <c r="N69" s="2" t="n">
        <v>558.43</v>
      </c>
      <c r="O69" s="2" t="n">
        <v>3.33</v>
      </c>
    </row>
    <row r="70" customFormat="false" ht="15" hidden="false" customHeight="false" outlineLevel="0" collapsed="false">
      <c r="A70" s="2" t="s">
        <v>232</v>
      </c>
      <c r="B70" s="2" t="n">
        <v>2009</v>
      </c>
      <c r="C70" s="2" t="s">
        <v>187</v>
      </c>
      <c r="D70" s="2" t="s">
        <v>188</v>
      </c>
      <c r="E70" s="2" t="n">
        <v>208</v>
      </c>
      <c r="F70" s="2" t="n">
        <v>0.18</v>
      </c>
      <c r="G70" s="2" t="n">
        <v>0.86</v>
      </c>
      <c r="H70" s="2" t="n">
        <v>0.42</v>
      </c>
      <c r="I70" s="2" t="n">
        <v>0.82</v>
      </c>
      <c r="J70" s="2" t="n">
        <v>7.64</v>
      </c>
      <c r="K70" s="2" t="n">
        <v>0.22</v>
      </c>
      <c r="L70" s="2" t="n">
        <v>0.22</v>
      </c>
      <c r="M70" s="2" t="n">
        <v>2.78</v>
      </c>
      <c r="N70" s="2" t="n">
        <v>100</v>
      </c>
      <c r="O70" s="2" t="n">
        <v>1.86</v>
      </c>
    </row>
    <row r="71" customFormat="false" ht="15" hidden="false" customHeight="false" outlineLevel="0" collapsed="false">
      <c r="A71" s="2" t="s">
        <v>234</v>
      </c>
      <c r="B71" s="2" t="n">
        <v>2009</v>
      </c>
      <c r="C71" s="2" t="s">
        <v>187</v>
      </c>
      <c r="D71" s="2" t="s">
        <v>188</v>
      </c>
      <c r="E71" s="2" t="n">
        <v>209</v>
      </c>
      <c r="F71" s="2" t="n">
        <v>0.18</v>
      </c>
      <c r="G71" s="2" t="n">
        <v>0.89</v>
      </c>
      <c r="H71" s="2" t="n">
        <v>0.43</v>
      </c>
      <c r="I71" s="2" t="n">
        <v>0.8</v>
      </c>
      <c r="J71" s="2" t="n">
        <v>7.34</v>
      </c>
      <c r="K71" s="2" t="n">
        <v>0.21</v>
      </c>
      <c r="L71" s="2" t="n">
        <v>0.22</v>
      </c>
      <c r="M71" s="2" t="n">
        <v>2.87</v>
      </c>
      <c r="N71" s="2" t="n">
        <v>100</v>
      </c>
      <c r="O71" s="2" t="n">
        <v>2.3</v>
      </c>
    </row>
    <row r="72" customFormat="false" ht="15" hidden="false" customHeight="false" outlineLevel="0" collapsed="false">
      <c r="A72" s="2" t="s">
        <v>236</v>
      </c>
      <c r="B72" s="2" t="n">
        <v>2009</v>
      </c>
      <c r="C72" s="2" t="s">
        <v>187</v>
      </c>
      <c r="D72" s="2" t="s">
        <v>188</v>
      </c>
      <c r="E72" s="2" t="n">
        <v>210</v>
      </c>
      <c r="F72" s="2" t="n">
        <v>0.18</v>
      </c>
      <c r="G72" s="2" t="n">
        <v>1.05</v>
      </c>
      <c r="H72" s="2" t="n">
        <v>0.49</v>
      </c>
      <c r="I72" s="2" t="n">
        <v>0.81</v>
      </c>
      <c r="J72" s="2" t="n">
        <v>6.67</v>
      </c>
      <c r="K72" s="2" t="n">
        <v>0.21</v>
      </c>
      <c r="L72" s="2" t="n">
        <v>0.22</v>
      </c>
      <c r="M72" s="2" t="n">
        <v>2.8</v>
      </c>
      <c r="N72" s="2" t="n">
        <v>100</v>
      </c>
      <c r="O72" s="2" t="n">
        <v>3</v>
      </c>
    </row>
    <row r="73" customFormat="false" ht="15" hidden="false" customHeight="false" outlineLevel="0" collapsed="false">
      <c r="A73" s="2" t="s">
        <v>238</v>
      </c>
      <c r="B73" s="2" t="n">
        <v>2009</v>
      </c>
      <c r="C73" s="2" t="s">
        <v>187</v>
      </c>
      <c r="D73" s="2" t="s">
        <v>188</v>
      </c>
      <c r="E73" s="2" t="n">
        <v>211</v>
      </c>
      <c r="F73" s="2" t="n">
        <v>0.18</v>
      </c>
      <c r="G73" s="2" t="n">
        <v>1.01</v>
      </c>
      <c r="H73" s="2" t="n">
        <v>0.48</v>
      </c>
      <c r="I73" s="2" t="n">
        <v>0.83</v>
      </c>
      <c r="J73" s="2" t="n">
        <v>6.54</v>
      </c>
      <c r="K73" s="2" t="n">
        <v>0.21</v>
      </c>
      <c r="L73" s="2" t="n">
        <v>0.22</v>
      </c>
      <c r="M73" s="2" t="n">
        <v>2.96</v>
      </c>
      <c r="N73" s="2" t="n">
        <v>100</v>
      </c>
      <c r="O73" s="2" t="n">
        <v>2.34</v>
      </c>
    </row>
    <row r="74" customFormat="false" ht="15" hidden="false" customHeight="false" outlineLevel="0" collapsed="false">
      <c r="A74" s="2" t="s">
        <v>240</v>
      </c>
      <c r="B74" s="2" t="n">
        <v>2009</v>
      </c>
      <c r="C74" s="2" t="s">
        <v>187</v>
      </c>
      <c r="D74" s="2" t="s">
        <v>188</v>
      </c>
      <c r="E74" s="2" t="n">
        <v>212</v>
      </c>
      <c r="F74" s="2" t="n">
        <v>0.18</v>
      </c>
      <c r="G74" s="2" t="n">
        <v>1.63</v>
      </c>
      <c r="H74" s="2" t="n">
        <v>0.66</v>
      </c>
      <c r="I74" s="2" t="n">
        <v>0.83</v>
      </c>
      <c r="J74" s="2" t="n">
        <v>6.58</v>
      </c>
      <c r="K74" s="2" t="n">
        <v>0.19</v>
      </c>
      <c r="L74" s="2" t="n">
        <v>0.23</v>
      </c>
      <c r="M74" s="2" t="n">
        <v>3.83</v>
      </c>
      <c r="N74" s="2" t="n">
        <v>95.17</v>
      </c>
      <c r="O74" s="2" t="n">
        <v>3.22</v>
      </c>
    </row>
    <row r="75" customFormat="false" ht="15" hidden="false" customHeight="false" outlineLevel="0" collapsed="false">
      <c r="A75" s="2" t="s">
        <v>242</v>
      </c>
      <c r="B75" s="2" t="n">
        <v>2009</v>
      </c>
      <c r="C75" s="2" t="s">
        <v>187</v>
      </c>
      <c r="D75" s="2" t="s">
        <v>188</v>
      </c>
      <c r="E75" s="2" t="n">
        <v>213</v>
      </c>
      <c r="F75" s="2" t="n">
        <v>0.18</v>
      </c>
      <c r="G75" s="2" t="n">
        <v>0.97</v>
      </c>
      <c r="H75" s="2" t="n">
        <v>0.46</v>
      </c>
      <c r="I75" s="2" t="n">
        <v>0.83</v>
      </c>
      <c r="J75" s="2" t="n">
        <v>7.59</v>
      </c>
      <c r="K75" s="2" t="n">
        <v>0.21</v>
      </c>
      <c r="L75" s="2" t="n">
        <v>0.22</v>
      </c>
      <c r="M75" s="2" t="n">
        <v>2.78</v>
      </c>
      <c r="N75" s="2" t="n">
        <v>100</v>
      </c>
      <c r="O75" s="2" t="n">
        <v>2.05</v>
      </c>
    </row>
    <row r="76" customFormat="false" ht="15" hidden="false" customHeight="false" outlineLevel="0" collapsed="false">
      <c r="A76" s="2" t="s">
        <v>244</v>
      </c>
      <c r="B76" s="2" t="n">
        <v>2009</v>
      </c>
      <c r="C76" s="2" t="s">
        <v>187</v>
      </c>
      <c r="D76" s="2" t="s">
        <v>188</v>
      </c>
      <c r="E76" s="2" t="n">
        <v>215</v>
      </c>
      <c r="F76" s="2" t="n">
        <v>0.18</v>
      </c>
      <c r="G76" s="2" t="n">
        <v>0.91</v>
      </c>
      <c r="H76" s="2" t="n">
        <v>0.44</v>
      </c>
      <c r="I76" s="2" t="n">
        <v>0.8</v>
      </c>
      <c r="J76" s="2" t="n">
        <v>7.32</v>
      </c>
      <c r="K76" s="2" t="n">
        <v>0.21</v>
      </c>
      <c r="L76" s="2" t="n">
        <v>0.22</v>
      </c>
      <c r="M76" s="2" t="n">
        <v>2.7</v>
      </c>
      <c r="N76" s="2" t="n">
        <v>100</v>
      </c>
      <c r="O76" s="2" t="n">
        <v>2.39</v>
      </c>
    </row>
    <row r="77" customFormat="false" ht="15" hidden="false" customHeight="false" outlineLevel="0" collapsed="false">
      <c r="A77" s="2" t="s">
        <v>246</v>
      </c>
      <c r="B77" s="2" t="n">
        <v>2009</v>
      </c>
      <c r="C77" s="2" t="s">
        <v>187</v>
      </c>
      <c r="D77" s="2" t="s">
        <v>188</v>
      </c>
      <c r="E77" s="2" t="n">
        <v>216</v>
      </c>
      <c r="F77" s="2" t="n">
        <v>0.18</v>
      </c>
      <c r="G77" s="2" t="n">
        <v>1.75</v>
      </c>
      <c r="H77" s="2" t="n">
        <v>0.81</v>
      </c>
      <c r="I77" s="2" t="n">
        <v>0.84</v>
      </c>
      <c r="J77" s="2" t="n">
        <v>5.53</v>
      </c>
      <c r="K77" s="2" t="n">
        <v>0.19</v>
      </c>
      <c r="L77" s="2" t="n">
        <v>0.23</v>
      </c>
      <c r="M77" s="2" t="n">
        <v>4.1</v>
      </c>
      <c r="N77" s="2" t="n">
        <v>100</v>
      </c>
      <c r="O77" s="2" t="n">
        <v>4.35</v>
      </c>
    </row>
    <row r="78" customFormat="false" ht="15" hidden="false" customHeight="false" outlineLevel="0" collapsed="false">
      <c r="A78" s="2" t="s">
        <v>248</v>
      </c>
      <c r="B78" s="2" t="n">
        <v>2009</v>
      </c>
      <c r="C78" s="2" t="s">
        <v>187</v>
      </c>
      <c r="D78" s="2" t="s">
        <v>188</v>
      </c>
      <c r="E78" s="2" t="n">
        <v>217</v>
      </c>
      <c r="F78" s="2" t="n">
        <v>0.18</v>
      </c>
      <c r="G78" s="2" t="n">
        <v>1.86</v>
      </c>
      <c r="H78" s="2" t="n">
        <v>0.78</v>
      </c>
      <c r="I78" s="2" t="n">
        <v>0.86</v>
      </c>
      <c r="J78" s="2" t="n">
        <v>6.24</v>
      </c>
      <c r="K78" s="2" t="n">
        <v>0.19</v>
      </c>
      <c r="L78" s="2" t="n">
        <v>0.23</v>
      </c>
      <c r="M78" s="2" t="n">
        <v>3.85</v>
      </c>
      <c r="N78" s="2" t="n">
        <v>100</v>
      </c>
      <c r="O78" s="2" t="n">
        <v>2.29</v>
      </c>
    </row>
    <row r="79" customFormat="false" ht="15" hidden="false" customHeight="false" outlineLevel="0" collapsed="false">
      <c r="A79" s="2" t="s">
        <v>250</v>
      </c>
      <c r="B79" s="2" t="n">
        <v>2009</v>
      </c>
      <c r="C79" s="2" t="s">
        <v>187</v>
      </c>
      <c r="D79" s="2" t="s">
        <v>188</v>
      </c>
      <c r="E79" s="2" t="n">
        <v>218</v>
      </c>
      <c r="F79" s="2" t="n">
        <v>0.18</v>
      </c>
      <c r="G79" s="2" t="n">
        <v>0.86</v>
      </c>
      <c r="H79" s="2" t="n">
        <v>0.5</v>
      </c>
      <c r="I79" s="2" t="n">
        <v>0.71</v>
      </c>
      <c r="J79" s="2" t="n">
        <v>5.64</v>
      </c>
      <c r="K79" s="2" t="n">
        <v>0.22</v>
      </c>
      <c r="L79" s="2" t="n">
        <v>0.23</v>
      </c>
      <c r="M79" s="2" t="n">
        <v>2.81</v>
      </c>
      <c r="N79" s="2" t="n">
        <v>100</v>
      </c>
      <c r="O79" s="2" t="n">
        <v>6.84</v>
      </c>
    </row>
    <row r="80" customFormat="false" ht="15" hidden="false" customHeight="false" outlineLevel="0" collapsed="false">
      <c r="A80" s="2" t="s">
        <v>252</v>
      </c>
      <c r="B80" s="2" t="n">
        <v>2009</v>
      </c>
      <c r="C80" s="2" t="s">
        <v>187</v>
      </c>
      <c r="D80" s="2" t="s">
        <v>188</v>
      </c>
      <c r="E80" s="2" t="n">
        <v>219</v>
      </c>
      <c r="F80" s="2" t="n">
        <v>0.18</v>
      </c>
      <c r="G80" s="2" t="n">
        <v>1.14</v>
      </c>
      <c r="H80" s="2" t="n">
        <v>0.48</v>
      </c>
      <c r="I80" s="2" t="n">
        <v>0.83</v>
      </c>
      <c r="J80" s="2" t="n">
        <v>7.09</v>
      </c>
      <c r="K80" s="2" t="n">
        <v>0.21</v>
      </c>
      <c r="L80" s="2" t="n">
        <v>0.22</v>
      </c>
      <c r="M80" s="2" t="n">
        <v>2.98</v>
      </c>
      <c r="N80" s="2" t="n">
        <v>100</v>
      </c>
      <c r="O80" s="2" t="n">
        <v>2.18</v>
      </c>
    </row>
    <row r="81" customFormat="false" ht="15" hidden="false" customHeight="false" outlineLevel="0" collapsed="false">
      <c r="A81" s="2" t="s">
        <v>254</v>
      </c>
      <c r="B81" s="2" t="n">
        <v>2009</v>
      </c>
      <c r="C81" s="2" t="s">
        <v>187</v>
      </c>
      <c r="D81" s="2" t="s">
        <v>188</v>
      </c>
      <c r="E81" s="2" t="n">
        <v>220</v>
      </c>
      <c r="F81" s="2" t="n">
        <v>0.18</v>
      </c>
      <c r="G81" s="2" t="n">
        <v>0.98</v>
      </c>
      <c r="H81" s="2" t="n">
        <v>0.46</v>
      </c>
      <c r="I81" s="2" t="n">
        <v>0.83</v>
      </c>
      <c r="J81" s="2" t="n">
        <v>7.14</v>
      </c>
      <c r="K81" s="2" t="n">
        <v>0.21</v>
      </c>
      <c r="L81" s="2" t="n">
        <v>0.22</v>
      </c>
      <c r="M81" s="2" t="n">
        <v>2.93</v>
      </c>
      <c r="N81" s="2" t="n">
        <v>100</v>
      </c>
      <c r="O81" s="2" t="n">
        <v>2.3</v>
      </c>
    </row>
    <row r="82" customFormat="false" ht="15" hidden="false" customHeight="false" outlineLevel="0" collapsed="false">
      <c r="A82" s="2" t="s">
        <v>256</v>
      </c>
      <c r="B82" s="2" t="n">
        <v>2009</v>
      </c>
      <c r="C82" s="2" t="s">
        <v>187</v>
      </c>
      <c r="D82" s="2" t="s">
        <v>188</v>
      </c>
      <c r="E82" s="2" t="n">
        <v>221</v>
      </c>
      <c r="F82" s="2" t="n">
        <v>0.18</v>
      </c>
      <c r="G82" s="2" t="n">
        <v>0.93</v>
      </c>
      <c r="H82" s="2" t="n">
        <v>0.45</v>
      </c>
      <c r="I82" s="2" t="n">
        <v>0.83</v>
      </c>
      <c r="J82" s="2" t="n">
        <v>9.03</v>
      </c>
      <c r="K82" s="2" t="n">
        <v>0.21</v>
      </c>
      <c r="L82" s="2" t="n">
        <v>0.22</v>
      </c>
      <c r="M82" s="2" t="n">
        <v>3.13</v>
      </c>
      <c r="N82" s="2" t="n">
        <v>100</v>
      </c>
      <c r="O82" s="2" t="n">
        <v>2.2</v>
      </c>
    </row>
    <row r="83" customFormat="false" ht="15" hidden="false" customHeight="false" outlineLevel="0" collapsed="false">
      <c r="A83" s="2" t="s">
        <v>258</v>
      </c>
      <c r="B83" s="2" t="n">
        <v>2009</v>
      </c>
      <c r="C83" s="2" t="s">
        <v>187</v>
      </c>
      <c r="D83" s="2" t="s">
        <v>188</v>
      </c>
      <c r="E83" s="2" t="n">
        <v>222</v>
      </c>
      <c r="F83" s="2" t="n">
        <v>0.18</v>
      </c>
      <c r="G83" s="2" t="n">
        <v>1.69</v>
      </c>
      <c r="H83" s="2" t="n">
        <v>0.74</v>
      </c>
      <c r="I83" s="2" t="n">
        <v>0.83</v>
      </c>
      <c r="J83" s="2" t="n">
        <v>6.04</v>
      </c>
      <c r="K83" s="2" t="n">
        <v>0.19</v>
      </c>
      <c r="L83" s="2" t="n">
        <v>0.23</v>
      </c>
      <c r="M83" s="2" t="n">
        <v>4.26</v>
      </c>
      <c r="N83" s="2" t="n">
        <v>100</v>
      </c>
      <c r="O83" s="2" t="n">
        <v>2.91</v>
      </c>
    </row>
    <row r="84" customFormat="false" ht="15" hidden="false" customHeight="false" outlineLevel="0" collapsed="false">
      <c r="A84" s="2" t="s">
        <v>260</v>
      </c>
      <c r="B84" s="2" t="n">
        <v>2009</v>
      </c>
      <c r="C84" s="2" t="s">
        <v>187</v>
      </c>
      <c r="D84" s="2" t="s">
        <v>188</v>
      </c>
      <c r="E84" s="2" t="n">
        <v>223</v>
      </c>
      <c r="F84" s="2" t="n">
        <v>0.18</v>
      </c>
      <c r="G84" s="2" t="n">
        <v>1.51</v>
      </c>
      <c r="H84" s="2" t="n">
        <v>0.7</v>
      </c>
      <c r="I84" s="2" t="n">
        <v>0.83</v>
      </c>
      <c r="J84" s="2" t="n">
        <v>6.08</v>
      </c>
      <c r="K84" s="2" t="n">
        <v>0.19</v>
      </c>
      <c r="L84" s="2" t="n">
        <v>0.23</v>
      </c>
      <c r="M84" s="2" t="n">
        <v>4.06</v>
      </c>
      <c r="N84" s="2" t="n">
        <v>100</v>
      </c>
      <c r="O84" s="2" t="n">
        <v>2.27</v>
      </c>
    </row>
    <row r="85" customFormat="false" ht="15" hidden="false" customHeight="false" outlineLevel="0" collapsed="false">
      <c r="A85" s="2" t="s">
        <v>262</v>
      </c>
      <c r="B85" s="2" t="n">
        <v>2009</v>
      </c>
      <c r="C85" s="2" t="s">
        <v>187</v>
      </c>
      <c r="D85" s="2" t="s">
        <v>188</v>
      </c>
      <c r="E85" s="2" t="n">
        <v>224</v>
      </c>
      <c r="F85" s="2" t="n">
        <v>0.18</v>
      </c>
      <c r="G85" s="2" t="n">
        <v>1.08</v>
      </c>
      <c r="H85" s="2" t="n">
        <v>0.47</v>
      </c>
      <c r="I85" s="2" t="n">
        <v>0.87</v>
      </c>
      <c r="J85" s="2" t="n">
        <v>8.11</v>
      </c>
      <c r="K85" s="2" t="n">
        <v>0.21</v>
      </c>
      <c r="L85" s="2" t="n">
        <v>0.22</v>
      </c>
      <c r="M85" s="2" t="n">
        <v>2.82</v>
      </c>
      <c r="N85" s="2" t="n">
        <v>100</v>
      </c>
      <c r="O85" s="2" t="n">
        <v>1.67</v>
      </c>
    </row>
    <row r="86" customFormat="false" ht="15" hidden="false" customHeight="false" outlineLevel="0" collapsed="false">
      <c r="A86" s="2" t="s">
        <v>264</v>
      </c>
      <c r="B86" s="2" t="n">
        <v>2009</v>
      </c>
      <c r="C86" s="2" t="s">
        <v>187</v>
      </c>
      <c r="D86" s="2" t="s">
        <v>188</v>
      </c>
      <c r="E86" s="2" t="n">
        <v>225</v>
      </c>
      <c r="F86" s="2" t="n">
        <v>0.18</v>
      </c>
      <c r="G86" s="2" t="n">
        <v>0.97</v>
      </c>
      <c r="H86" s="2" t="n">
        <v>0.46</v>
      </c>
      <c r="I86" s="2" t="n">
        <v>0.83</v>
      </c>
      <c r="J86" s="2" t="n">
        <v>7.48</v>
      </c>
      <c r="K86" s="2" t="n">
        <v>0.21</v>
      </c>
      <c r="L86" s="2" t="n">
        <v>0.22</v>
      </c>
      <c r="M86" s="2" t="n">
        <v>2.9</v>
      </c>
      <c r="N86" s="2" t="n">
        <v>100</v>
      </c>
      <c r="O86" s="2" t="n">
        <v>1.9</v>
      </c>
    </row>
    <row r="87" customFormat="false" ht="15" hidden="false" customHeight="false" outlineLevel="0" collapsed="false">
      <c r="A87" s="2" t="s">
        <v>266</v>
      </c>
      <c r="B87" s="2" t="n">
        <v>2009</v>
      </c>
      <c r="C87" s="2" t="s">
        <v>187</v>
      </c>
      <c r="D87" s="2" t="s">
        <v>188</v>
      </c>
      <c r="E87" s="2" t="n">
        <v>226</v>
      </c>
      <c r="F87" s="2" t="n">
        <v>0.18</v>
      </c>
      <c r="G87" s="2" t="n">
        <v>1.01</v>
      </c>
      <c r="H87" s="2" t="n">
        <v>0.48</v>
      </c>
      <c r="I87" s="2" t="n">
        <v>0.84</v>
      </c>
      <c r="J87" s="2" t="n">
        <v>7.76</v>
      </c>
      <c r="K87" s="2" t="n">
        <v>0.21</v>
      </c>
      <c r="L87" s="2" t="n">
        <v>0.22</v>
      </c>
      <c r="M87" s="2" t="n">
        <v>2.85</v>
      </c>
      <c r="N87" s="2" t="n">
        <v>100</v>
      </c>
      <c r="O87" s="2" t="n">
        <v>2.24</v>
      </c>
    </row>
    <row r="88" customFormat="false" ht="15" hidden="false" customHeight="false" outlineLevel="0" collapsed="false">
      <c r="A88" s="2" t="s">
        <v>268</v>
      </c>
      <c r="B88" s="2" t="n">
        <v>2009</v>
      </c>
      <c r="C88" s="2" t="s">
        <v>187</v>
      </c>
      <c r="D88" s="2" t="s">
        <v>188</v>
      </c>
      <c r="E88" s="2" t="n">
        <v>227</v>
      </c>
      <c r="F88" s="2" t="n">
        <v>0.18</v>
      </c>
      <c r="G88" s="2" t="n">
        <v>1.59</v>
      </c>
      <c r="H88" s="2" t="n">
        <v>0.83</v>
      </c>
      <c r="I88" s="2" t="n">
        <v>0.81</v>
      </c>
      <c r="J88" s="2" t="n">
        <v>5.85</v>
      </c>
      <c r="K88" s="2" t="n">
        <v>0.19</v>
      </c>
      <c r="L88" s="2" t="n">
        <v>0.23</v>
      </c>
      <c r="M88" s="2" t="n">
        <v>4.58</v>
      </c>
      <c r="N88" s="2" t="n">
        <v>100</v>
      </c>
      <c r="O88" s="2" t="n">
        <v>5.1</v>
      </c>
    </row>
    <row r="89" customFormat="false" ht="15" hidden="false" customHeight="false" outlineLevel="0" collapsed="false">
      <c r="A89" s="2" t="s">
        <v>270</v>
      </c>
      <c r="B89" s="2" t="n">
        <v>2009</v>
      </c>
      <c r="C89" s="2" t="s">
        <v>187</v>
      </c>
      <c r="D89" s="2" t="s">
        <v>188</v>
      </c>
      <c r="E89" s="2" t="n">
        <v>228</v>
      </c>
      <c r="F89" s="2" t="n">
        <v>0.18</v>
      </c>
      <c r="G89" s="2" t="n">
        <v>1.55</v>
      </c>
      <c r="H89" s="2" t="n">
        <v>0.62</v>
      </c>
      <c r="I89" s="2" t="n">
        <v>0.82</v>
      </c>
      <c r="J89" s="2" t="n">
        <v>5.46</v>
      </c>
      <c r="K89" s="2" t="n">
        <v>0.2</v>
      </c>
      <c r="L89" s="2" t="n">
        <v>0.23</v>
      </c>
      <c r="M89" s="2" t="n">
        <v>3.97</v>
      </c>
      <c r="N89" s="2" t="n">
        <v>100</v>
      </c>
      <c r="O89" s="2" t="n">
        <v>4.34</v>
      </c>
    </row>
    <row r="90" customFormat="false" ht="15" hidden="false" customHeight="false" outlineLevel="0" collapsed="false">
      <c r="A90" s="2" t="s">
        <v>272</v>
      </c>
      <c r="B90" s="2" t="n">
        <v>2009</v>
      </c>
      <c r="C90" s="2" t="s">
        <v>187</v>
      </c>
      <c r="D90" s="2" t="s">
        <v>188</v>
      </c>
      <c r="E90" s="2" t="n">
        <v>229</v>
      </c>
      <c r="F90" s="2" t="n">
        <v>0.18</v>
      </c>
      <c r="G90" s="2" t="n">
        <v>1.02</v>
      </c>
      <c r="H90" s="2" t="n">
        <v>0.47</v>
      </c>
      <c r="I90" s="2" t="n">
        <v>0.85</v>
      </c>
      <c r="J90" s="2" t="n">
        <v>7.93</v>
      </c>
      <c r="K90" s="2" t="n">
        <v>0.21</v>
      </c>
      <c r="L90" s="2" t="n">
        <v>0.22</v>
      </c>
      <c r="M90" s="2" t="n">
        <v>2.86</v>
      </c>
      <c r="N90" s="2" t="n">
        <v>100</v>
      </c>
      <c r="O90" s="2" t="n">
        <v>2</v>
      </c>
    </row>
    <row r="91" customFormat="false" ht="15" hidden="false" customHeight="false" outlineLevel="0" collapsed="false">
      <c r="A91" s="2" t="s">
        <v>274</v>
      </c>
      <c r="B91" s="2" t="n">
        <v>2009</v>
      </c>
      <c r="C91" s="2" t="s">
        <v>187</v>
      </c>
      <c r="D91" s="2" t="s">
        <v>188</v>
      </c>
      <c r="E91" s="2" t="n">
        <v>230</v>
      </c>
      <c r="F91" s="2" t="n">
        <v>0.18</v>
      </c>
      <c r="G91" s="2" t="n">
        <v>1.66</v>
      </c>
      <c r="H91" s="2" t="n">
        <v>0.76</v>
      </c>
      <c r="I91" s="2" t="n">
        <v>0.82</v>
      </c>
      <c r="J91" s="2" t="n">
        <v>6.15</v>
      </c>
      <c r="K91" s="2" t="n">
        <v>0.19</v>
      </c>
      <c r="L91" s="2" t="n">
        <v>0.23</v>
      </c>
      <c r="M91" s="2" t="n">
        <v>3.99</v>
      </c>
      <c r="N91" s="2" t="n">
        <v>100</v>
      </c>
      <c r="O91" s="2" t="n">
        <v>4.42</v>
      </c>
    </row>
    <row r="92" customFormat="false" ht="15" hidden="false" customHeight="false" outlineLevel="0" collapsed="false">
      <c r="A92" s="2" t="s">
        <v>276</v>
      </c>
      <c r="B92" s="2" t="n">
        <v>2009</v>
      </c>
      <c r="C92" s="2" t="s">
        <v>187</v>
      </c>
      <c r="D92" s="2" t="s">
        <v>188</v>
      </c>
      <c r="E92" s="2" t="n">
        <v>231</v>
      </c>
      <c r="F92" s="2" t="n">
        <v>0.18</v>
      </c>
      <c r="G92" s="2" t="n">
        <v>0.93</v>
      </c>
      <c r="H92" s="2" t="n">
        <v>0.44</v>
      </c>
      <c r="I92" s="2" t="n">
        <v>0.82</v>
      </c>
      <c r="J92" s="2" t="n">
        <v>7.35</v>
      </c>
      <c r="K92" s="2" t="n">
        <v>0.21</v>
      </c>
      <c r="L92" s="2" t="n">
        <v>0.22</v>
      </c>
      <c r="M92" s="2" t="n">
        <v>2.85</v>
      </c>
      <c r="N92" s="2" t="n">
        <v>100</v>
      </c>
      <c r="O92" s="2" t="n">
        <v>2</v>
      </c>
    </row>
    <row r="93" customFormat="false" ht="15" hidden="false" customHeight="false" outlineLevel="0" collapsed="false">
      <c r="A93" s="2" t="s">
        <v>278</v>
      </c>
      <c r="B93" s="2" t="n">
        <v>2009</v>
      </c>
      <c r="C93" s="2" t="s">
        <v>187</v>
      </c>
      <c r="D93" s="2" t="s">
        <v>188</v>
      </c>
      <c r="E93" s="2" t="n">
        <v>232</v>
      </c>
      <c r="F93" s="2" t="n">
        <v>0.18</v>
      </c>
      <c r="G93" s="2" t="n">
        <v>1.21</v>
      </c>
      <c r="H93" s="2" t="n">
        <v>0.54</v>
      </c>
      <c r="I93" s="2" t="n">
        <v>0.87</v>
      </c>
      <c r="J93" s="2" t="n">
        <v>7.32</v>
      </c>
      <c r="K93" s="2" t="n">
        <v>0.2</v>
      </c>
      <c r="L93" s="2" t="n">
        <v>0.22</v>
      </c>
      <c r="M93" s="2" t="n">
        <v>3.23</v>
      </c>
      <c r="N93" s="2" t="n">
        <v>100</v>
      </c>
      <c r="O93" s="2" t="n">
        <v>1.91</v>
      </c>
    </row>
    <row r="94" customFormat="false" ht="15" hidden="false" customHeight="false" outlineLevel="0" collapsed="false">
      <c r="A94" s="2" t="s">
        <v>280</v>
      </c>
      <c r="B94" s="2" t="n">
        <v>2009</v>
      </c>
      <c r="C94" s="2" t="s">
        <v>281</v>
      </c>
      <c r="D94" s="2" t="s">
        <v>282</v>
      </c>
      <c r="E94" s="2" t="n">
        <v>9</v>
      </c>
      <c r="F94" s="2" t="n">
        <v>0.18</v>
      </c>
      <c r="G94" s="2" t="n">
        <v>1.6</v>
      </c>
      <c r="H94" s="2" t="n">
        <v>0.79</v>
      </c>
      <c r="I94" s="2" t="n">
        <v>0.82</v>
      </c>
      <c r="J94" s="2" t="n">
        <v>5.64</v>
      </c>
      <c r="K94" s="2" t="n">
        <v>0.19</v>
      </c>
      <c r="L94" s="2" t="n">
        <v>0.24</v>
      </c>
      <c r="M94" s="2" t="n">
        <v>4.13</v>
      </c>
      <c r="N94" s="2" t="n">
        <v>344.38</v>
      </c>
      <c r="O94" s="2" t="n">
        <v>5.09</v>
      </c>
    </row>
    <row r="95" customFormat="false" ht="15" hidden="false" customHeight="false" outlineLevel="0" collapsed="false">
      <c r="A95" s="2" t="s">
        <v>284</v>
      </c>
      <c r="B95" s="2" t="n">
        <v>2009</v>
      </c>
      <c r="C95" s="2" t="s">
        <v>281</v>
      </c>
      <c r="D95" s="2" t="s">
        <v>282</v>
      </c>
      <c r="E95" s="2" t="n">
        <v>10</v>
      </c>
      <c r="F95" s="2" t="n">
        <v>0.18</v>
      </c>
      <c r="G95" s="2" t="n">
        <v>0.88</v>
      </c>
      <c r="H95" s="2" t="n">
        <v>0.43</v>
      </c>
      <c r="I95" s="2" t="n">
        <v>0.79</v>
      </c>
      <c r="J95" s="2" t="n">
        <v>6.91</v>
      </c>
      <c r="K95" s="2" t="n">
        <v>0.22</v>
      </c>
      <c r="L95" s="2" t="n">
        <v>0.23</v>
      </c>
      <c r="M95" s="2" t="n">
        <v>2.9</v>
      </c>
      <c r="N95" s="2" t="n">
        <v>100</v>
      </c>
      <c r="O95" s="2" t="n">
        <v>4.62</v>
      </c>
    </row>
    <row r="96" customFormat="false" ht="15" hidden="false" customHeight="false" outlineLevel="0" collapsed="false">
      <c r="A96" s="2" t="s">
        <v>286</v>
      </c>
      <c r="B96" s="2" t="n">
        <v>2009</v>
      </c>
      <c r="C96" s="2" t="s">
        <v>281</v>
      </c>
      <c r="D96" s="2" t="s">
        <v>282</v>
      </c>
      <c r="E96" s="2" t="n">
        <v>11</v>
      </c>
      <c r="F96" s="2" t="n">
        <v>0.18</v>
      </c>
      <c r="G96" s="2" t="n">
        <v>0.82</v>
      </c>
      <c r="H96" s="2" t="n">
        <v>0.44</v>
      </c>
      <c r="I96" s="2" t="n">
        <v>0.78</v>
      </c>
      <c r="J96" s="2" t="n">
        <v>6.41</v>
      </c>
      <c r="K96" s="2" t="n">
        <v>0.21</v>
      </c>
      <c r="L96" s="2" t="n">
        <v>0.24</v>
      </c>
      <c r="M96" s="2" t="n">
        <v>3.19</v>
      </c>
      <c r="N96" s="2" t="n">
        <v>100</v>
      </c>
      <c r="O96" s="2" t="n">
        <v>3.5</v>
      </c>
    </row>
    <row r="97" customFormat="false" ht="15" hidden="false" customHeight="false" outlineLevel="0" collapsed="false">
      <c r="A97" s="2" t="s">
        <v>288</v>
      </c>
      <c r="B97" s="2" t="n">
        <v>2009</v>
      </c>
      <c r="C97" s="2" t="s">
        <v>281</v>
      </c>
      <c r="D97" s="2" t="s">
        <v>282</v>
      </c>
      <c r="E97" s="2" t="n">
        <v>12</v>
      </c>
      <c r="F97" s="2" t="n">
        <v>0.18</v>
      </c>
      <c r="G97" s="2" t="n">
        <v>1.09</v>
      </c>
      <c r="H97" s="2" t="n">
        <v>0.52</v>
      </c>
      <c r="I97" s="2" t="n">
        <v>0.82</v>
      </c>
      <c r="J97" s="2" t="n">
        <v>6.45</v>
      </c>
      <c r="K97" s="2" t="n">
        <v>0.21</v>
      </c>
      <c r="L97" s="2" t="n">
        <v>0.23</v>
      </c>
      <c r="M97" s="2" t="n">
        <v>3.17</v>
      </c>
      <c r="N97" s="2" t="n">
        <v>118.05</v>
      </c>
      <c r="O97" s="2" t="n">
        <v>4.48</v>
      </c>
    </row>
    <row r="98" customFormat="false" ht="15" hidden="false" customHeight="false" outlineLevel="0" collapsed="false">
      <c r="A98" s="2" t="s">
        <v>290</v>
      </c>
      <c r="B98" s="2" t="n">
        <v>2009</v>
      </c>
      <c r="C98" s="2" t="s">
        <v>281</v>
      </c>
      <c r="D98" s="2" t="s">
        <v>282</v>
      </c>
      <c r="E98" s="2" t="n">
        <v>13</v>
      </c>
      <c r="F98" s="2" t="n">
        <v>0.18</v>
      </c>
      <c r="G98" s="2" t="n">
        <v>1.42</v>
      </c>
      <c r="H98" s="2" t="n">
        <v>0.68</v>
      </c>
      <c r="I98" s="2" t="n">
        <v>0.78</v>
      </c>
      <c r="J98" s="2" t="n">
        <v>5.27</v>
      </c>
      <c r="K98" s="2" t="n">
        <v>0.19</v>
      </c>
      <c r="L98" s="2" t="n">
        <v>0.25</v>
      </c>
      <c r="M98" s="2" t="n">
        <v>5.23</v>
      </c>
      <c r="N98" s="2" t="n">
        <v>100</v>
      </c>
      <c r="O98" s="2" t="n">
        <v>3.64</v>
      </c>
    </row>
    <row r="99" customFormat="false" ht="15" hidden="false" customHeight="false" outlineLevel="0" collapsed="false">
      <c r="A99" s="2" t="s">
        <v>292</v>
      </c>
      <c r="B99" s="2" t="n">
        <v>2009</v>
      </c>
      <c r="C99" s="2" t="s">
        <v>281</v>
      </c>
      <c r="D99" s="2" t="s">
        <v>282</v>
      </c>
      <c r="E99" s="2" t="n">
        <v>14</v>
      </c>
      <c r="F99" s="2" t="n">
        <v>0.19</v>
      </c>
      <c r="G99" s="2" t="n">
        <v>0.7</v>
      </c>
      <c r="H99" s="2" t="n">
        <v>0.38</v>
      </c>
      <c r="I99" s="2" t="n">
        <v>0.8</v>
      </c>
      <c r="J99" s="2" t="n">
        <v>7.46</v>
      </c>
      <c r="K99" s="2" t="n">
        <v>0.22</v>
      </c>
      <c r="L99" s="2" t="n">
        <v>0.23</v>
      </c>
      <c r="M99" s="2" t="n">
        <v>2.68</v>
      </c>
      <c r="N99" s="2" t="n">
        <v>182.18</v>
      </c>
      <c r="O99" s="2" t="n">
        <v>2.27</v>
      </c>
    </row>
    <row r="100" customFormat="false" ht="15" hidden="false" customHeight="false" outlineLevel="0" collapsed="false">
      <c r="A100" s="2" t="s">
        <v>294</v>
      </c>
      <c r="B100" s="2" t="n">
        <v>2009</v>
      </c>
      <c r="C100" s="2" t="s">
        <v>281</v>
      </c>
      <c r="D100" s="2" t="s">
        <v>282</v>
      </c>
      <c r="E100" s="2" t="n">
        <v>15</v>
      </c>
      <c r="F100" s="2" t="n">
        <v>0.18</v>
      </c>
      <c r="G100" s="2" t="n">
        <v>1.07</v>
      </c>
      <c r="H100" s="2" t="n">
        <v>0.46</v>
      </c>
      <c r="I100" s="2" t="n">
        <v>0.88</v>
      </c>
      <c r="J100" s="2" t="n">
        <v>9.18</v>
      </c>
      <c r="K100" s="2" t="n">
        <v>0.21</v>
      </c>
      <c r="L100" s="2" t="n">
        <v>0.23</v>
      </c>
      <c r="M100" s="2" t="n">
        <v>2.91</v>
      </c>
      <c r="N100" s="2" t="n">
        <v>100</v>
      </c>
      <c r="O100" s="2" t="n">
        <v>1.44</v>
      </c>
    </row>
    <row r="101" customFormat="false" ht="15" hidden="false" customHeight="false" outlineLevel="0" collapsed="false">
      <c r="A101" s="2" t="s">
        <v>296</v>
      </c>
      <c r="B101" s="2" t="n">
        <v>2009</v>
      </c>
      <c r="C101" s="2" t="s">
        <v>281</v>
      </c>
      <c r="D101" s="2" t="s">
        <v>282</v>
      </c>
      <c r="E101" s="2" t="n">
        <v>16</v>
      </c>
      <c r="F101" s="2" t="n">
        <v>0.18</v>
      </c>
      <c r="G101" s="2" t="n">
        <v>0.97</v>
      </c>
      <c r="H101" s="2" t="n">
        <v>0.5</v>
      </c>
      <c r="I101" s="2" t="n">
        <v>0.8</v>
      </c>
      <c r="J101" s="2" t="n">
        <v>7.06</v>
      </c>
      <c r="K101" s="2" t="n">
        <v>0.21</v>
      </c>
      <c r="L101" s="2" t="n">
        <v>0.22</v>
      </c>
      <c r="M101" s="2" t="n">
        <v>2.89</v>
      </c>
      <c r="N101" s="2" t="n">
        <v>100</v>
      </c>
      <c r="O101" s="2" t="n">
        <v>6.92</v>
      </c>
    </row>
    <row r="102" customFormat="false" ht="15" hidden="false" customHeight="false" outlineLevel="0" collapsed="false">
      <c r="A102" s="2" t="s">
        <v>298</v>
      </c>
      <c r="B102" s="2" t="n">
        <v>2009</v>
      </c>
      <c r="C102" s="2" t="s">
        <v>281</v>
      </c>
      <c r="D102" s="2" t="s">
        <v>282</v>
      </c>
      <c r="E102" s="2" t="n">
        <v>17</v>
      </c>
      <c r="F102" s="2" t="n">
        <v>0.18</v>
      </c>
      <c r="G102" s="2" t="n">
        <v>0.92</v>
      </c>
      <c r="H102" s="2" t="n">
        <v>0.55</v>
      </c>
      <c r="I102" s="2" t="n">
        <v>0.77</v>
      </c>
      <c r="J102" s="2" t="n">
        <v>6.28</v>
      </c>
      <c r="K102" s="2" t="n">
        <v>0.21</v>
      </c>
      <c r="L102" s="2" t="n">
        <v>0.23</v>
      </c>
      <c r="M102" s="2" t="n">
        <v>3.12</v>
      </c>
      <c r="N102" s="2" t="n">
        <v>1055.16</v>
      </c>
      <c r="O102" s="2" t="n">
        <v>11.44</v>
      </c>
    </row>
    <row r="103" customFormat="false" ht="15" hidden="false" customHeight="false" outlineLevel="0" collapsed="false">
      <c r="A103" s="2" t="s">
        <v>300</v>
      </c>
      <c r="B103" s="2" t="n">
        <v>2009</v>
      </c>
      <c r="C103" s="2" t="s">
        <v>281</v>
      </c>
      <c r="D103" s="2" t="s">
        <v>282</v>
      </c>
      <c r="E103" s="2" t="n">
        <v>19</v>
      </c>
      <c r="F103" s="2" t="n">
        <v>0.18</v>
      </c>
      <c r="G103" s="2" t="n">
        <v>1</v>
      </c>
      <c r="H103" s="2" t="n">
        <v>0.47</v>
      </c>
      <c r="I103" s="2" t="n">
        <v>0.84</v>
      </c>
      <c r="J103" s="2" t="n">
        <v>7.28</v>
      </c>
      <c r="K103" s="2" t="n">
        <v>0.21</v>
      </c>
      <c r="L103" s="2" t="n">
        <v>0.23</v>
      </c>
      <c r="M103" s="2" t="n">
        <v>3.05</v>
      </c>
      <c r="N103" s="2" t="n">
        <v>100</v>
      </c>
      <c r="O103" s="2" t="n">
        <v>2.08</v>
      </c>
    </row>
    <row r="104" customFormat="false" ht="15" hidden="false" customHeight="false" outlineLevel="0" collapsed="false">
      <c r="A104" s="2" t="s">
        <v>302</v>
      </c>
      <c r="B104" s="2" t="n">
        <v>2009</v>
      </c>
      <c r="C104" s="2" t="s">
        <v>281</v>
      </c>
      <c r="D104" s="2" t="s">
        <v>282</v>
      </c>
      <c r="E104" s="2" t="n">
        <v>20</v>
      </c>
      <c r="F104" s="2" t="n">
        <v>0.18</v>
      </c>
      <c r="G104" s="2" t="n">
        <v>1.28</v>
      </c>
      <c r="H104" s="2" t="n">
        <v>0.7</v>
      </c>
      <c r="I104" s="2" t="n">
        <v>0.79</v>
      </c>
      <c r="J104" s="2" t="n">
        <v>5.06</v>
      </c>
      <c r="K104" s="2" t="n">
        <v>0.2</v>
      </c>
      <c r="L104" s="2" t="n">
        <v>0.24</v>
      </c>
      <c r="M104" s="2" t="n">
        <v>4.69</v>
      </c>
      <c r="N104" s="2" t="n">
        <v>100</v>
      </c>
      <c r="O104" s="2" t="n">
        <v>9.06</v>
      </c>
    </row>
    <row r="105" customFormat="false" ht="15" hidden="false" customHeight="false" outlineLevel="0" collapsed="false">
      <c r="A105" s="2" t="s">
        <v>304</v>
      </c>
      <c r="B105" s="2" t="n">
        <v>2009</v>
      </c>
      <c r="C105" s="2" t="s">
        <v>281</v>
      </c>
      <c r="D105" s="2" t="s">
        <v>282</v>
      </c>
      <c r="E105" s="2" t="n">
        <v>21</v>
      </c>
      <c r="F105" s="2" t="n">
        <v>0.18</v>
      </c>
      <c r="G105" s="2" t="n">
        <v>1.41</v>
      </c>
      <c r="H105" s="2" t="n">
        <v>0.73</v>
      </c>
      <c r="I105" s="2" t="n">
        <v>0.77</v>
      </c>
      <c r="J105" s="2" t="n">
        <v>5.69</v>
      </c>
      <c r="K105" s="2" t="n">
        <v>0.19</v>
      </c>
      <c r="L105" s="2" t="n">
        <v>0.24</v>
      </c>
      <c r="M105" s="2" t="n">
        <v>4.39</v>
      </c>
      <c r="N105" s="2" t="n">
        <v>100</v>
      </c>
      <c r="O105" s="2" t="n">
        <v>6.31</v>
      </c>
    </row>
    <row r="106" customFormat="false" ht="15" hidden="false" customHeight="false" outlineLevel="0" collapsed="false">
      <c r="A106" s="2" t="s">
        <v>306</v>
      </c>
      <c r="B106" s="2" t="n">
        <v>2009</v>
      </c>
      <c r="C106" s="2" t="s">
        <v>281</v>
      </c>
      <c r="D106" s="2" t="s">
        <v>282</v>
      </c>
      <c r="E106" s="2" t="n">
        <v>22</v>
      </c>
      <c r="F106" s="2" t="n">
        <v>0.17</v>
      </c>
      <c r="G106" s="2" t="n">
        <v>1.55</v>
      </c>
      <c r="H106" s="2" t="n">
        <v>0.83</v>
      </c>
      <c r="I106" s="2" t="n">
        <v>0.77</v>
      </c>
      <c r="J106" s="2" t="n">
        <v>5.04</v>
      </c>
      <c r="K106" s="2" t="n">
        <v>0.19</v>
      </c>
      <c r="L106" s="2" t="n">
        <v>0.24</v>
      </c>
      <c r="M106" s="2" t="n">
        <v>4.63</v>
      </c>
      <c r="N106" s="2" t="n">
        <v>100</v>
      </c>
      <c r="O106" s="2" t="n">
        <v>21.15</v>
      </c>
    </row>
    <row r="107" customFormat="false" ht="15" hidden="false" customHeight="false" outlineLevel="0" collapsed="false">
      <c r="A107" s="2" t="s">
        <v>308</v>
      </c>
      <c r="B107" s="2" t="n">
        <v>2009</v>
      </c>
      <c r="C107" s="2" t="s">
        <v>281</v>
      </c>
      <c r="D107" s="2" t="s">
        <v>282</v>
      </c>
      <c r="E107" s="2" t="n">
        <v>23</v>
      </c>
      <c r="F107" s="2" t="n">
        <v>0.18</v>
      </c>
      <c r="G107" s="2" t="n">
        <v>1.27</v>
      </c>
      <c r="H107" s="2" t="n">
        <v>0.93</v>
      </c>
      <c r="I107" s="2" t="n">
        <v>0.67</v>
      </c>
      <c r="J107" s="2" t="n">
        <v>4.38</v>
      </c>
      <c r="K107" s="2" t="n">
        <v>0.21</v>
      </c>
      <c r="L107" s="2" t="n">
        <v>0.25</v>
      </c>
      <c r="M107" s="2" t="n">
        <v>4.76</v>
      </c>
      <c r="N107" s="2" t="n">
        <v>100</v>
      </c>
      <c r="O107" s="2" t="n">
        <v>80.11</v>
      </c>
    </row>
    <row r="108" customFormat="false" ht="15" hidden="false" customHeight="false" outlineLevel="0" collapsed="false">
      <c r="A108" s="2" t="s">
        <v>310</v>
      </c>
      <c r="B108" s="2" t="n">
        <v>2009</v>
      </c>
      <c r="C108" s="2" t="s">
        <v>281</v>
      </c>
      <c r="D108" s="2" t="s">
        <v>282</v>
      </c>
      <c r="E108" s="2" t="n">
        <v>24</v>
      </c>
      <c r="F108" s="2" t="n">
        <v>0.18</v>
      </c>
      <c r="G108" s="2" t="n">
        <v>1.21</v>
      </c>
      <c r="H108" s="2" t="n">
        <v>0.56</v>
      </c>
      <c r="I108" s="2" t="n">
        <v>0.79</v>
      </c>
      <c r="J108" s="2" t="n">
        <v>6.02</v>
      </c>
      <c r="K108" s="2" t="n">
        <v>0.19</v>
      </c>
      <c r="L108" s="2" t="n">
        <v>0.24</v>
      </c>
      <c r="M108" s="2" t="n">
        <v>3.87</v>
      </c>
      <c r="N108" s="2" t="n">
        <v>100</v>
      </c>
      <c r="O108" s="2" t="n">
        <v>3.61</v>
      </c>
    </row>
    <row r="109" customFormat="false" ht="15" hidden="false" customHeight="false" outlineLevel="0" collapsed="false">
      <c r="A109" s="2" t="s">
        <v>312</v>
      </c>
      <c r="B109" s="2" t="n">
        <v>2009</v>
      </c>
      <c r="C109" s="2" t="s">
        <v>281</v>
      </c>
      <c r="D109" s="2" t="s">
        <v>282</v>
      </c>
      <c r="E109" s="2" t="n">
        <v>25</v>
      </c>
      <c r="F109" s="2" t="n">
        <v>0.18</v>
      </c>
      <c r="G109" s="2" t="n">
        <v>0.97</v>
      </c>
      <c r="H109" s="2" t="n">
        <v>0.43</v>
      </c>
      <c r="I109" s="2" t="n">
        <v>0.87</v>
      </c>
      <c r="J109" s="2" t="n">
        <v>8.33</v>
      </c>
      <c r="K109" s="2" t="n">
        <v>0.21</v>
      </c>
      <c r="L109" s="2" t="n">
        <v>0.22</v>
      </c>
      <c r="M109" s="2" t="n">
        <v>2.95</v>
      </c>
      <c r="N109" s="2" t="n">
        <v>100</v>
      </c>
      <c r="O109" s="2" t="n">
        <v>1.49</v>
      </c>
    </row>
    <row r="110" customFormat="false" ht="15" hidden="false" customHeight="false" outlineLevel="0" collapsed="false">
      <c r="A110" s="2" t="s">
        <v>314</v>
      </c>
      <c r="B110" s="2" t="n">
        <v>2009</v>
      </c>
      <c r="C110" s="2" t="s">
        <v>281</v>
      </c>
      <c r="D110" s="2" t="s">
        <v>282</v>
      </c>
      <c r="E110" s="2" t="n">
        <v>26</v>
      </c>
      <c r="F110" s="2" t="n">
        <v>0.18</v>
      </c>
      <c r="G110" s="2" t="n">
        <v>0.95</v>
      </c>
      <c r="H110" s="2" t="n">
        <v>0.46</v>
      </c>
      <c r="I110" s="2" t="n">
        <v>0.82</v>
      </c>
      <c r="J110" s="2" t="n">
        <v>6.99</v>
      </c>
      <c r="K110" s="2" t="n">
        <v>0.21</v>
      </c>
      <c r="L110" s="2" t="n">
        <v>0.23</v>
      </c>
      <c r="M110" s="2" t="n">
        <v>2.87</v>
      </c>
      <c r="N110" s="2" t="n">
        <v>100</v>
      </c>
      <c r="O110" s="2" t="n">
        <v>2.56</v>
      </c>
    </row>
    <row r="111" customFormat="false" ht="15" hidden="false" customHeight="false" outlineLevel="0" collapsed="false">
      <c r="A111" s="2" t="s">
        <v>316</v>
      </c>
      <c r="B111" s="2" t="n">
        <v>2009</v>
      </c>
      <c r="C111" s="2" t="s">
        <v>281</v>
      </c>
      <c r="D111" s="2" t="s">
        <v>282</v>
      </c>
      <c r="E111" s="2" t="n">
        <v>27</v>
      </c>
      <c r="F111" s="2" t="n">
        <v>0.18</v>
      </c>
      <c r="G111" s="2" t="n">
        <v>1.54</v>
      </c>
      <c r="H111" s="2" t="n">
        <v>0.75</v>
      </c>
      <c r="I111" s="2" t="n">
        <v>0.83</v>
      </c>
      <c r="J111" s="2" t="n">
        <v>5.4</v>
      </c>
      <c r="K111" s="2" t="n">
        <v>0.19</v>
      </c>
      <c r="L111" s="2" t="n">
        <v>0.24</v>
      </c>
      <c r="M111" s="2" t="n">
        <v>4.4</v>
      </c>
      <c r="N111" s="2" t="n">
        <v>164.18</v>
      </c>
      <c r="O111" s="2" t="n">
        <v>2.73</v>
      </c>
    </row>
    <row r="112" customFormat="false" ht="15" hidden="false" customHeight="false" outlineLevel="0" collapsed="false">
      <c r="A112" s="2" t="s">
        <v>318</v>
      </c>
      <c r="B112" s="2" t="n">
        <v>2009</v>
      </c>
      <c r="C112" s="2" t="s">
        <v>281</v>
      </c>
      <c r="D112" s="2" t="s">
        <v>282</v>
      </c>
      <c r="E112" s="2" t="n">
        <v>28</v>
      </c>
      <c r="F112" s="2" t="n">
        <v>0.18</v>
      </c>
      <c r="G112" s="2" t="n">
        <v>1.04</v>
      </c>
      <c r="H112" s="2" t="n">
        <v>0.52</v>
      </c>
      <c r="I112" s="2" t="n">
        <v>0.82</v>
      </c>
      <c r="J112" s="2" t="n">
        <v>6.77</v>
      </c>
      <c r="K112" s="2" t="n">
        <v>0.21</v>
      </c>
      <c r="L112" s="2" t="n">
        <v>0.22</v>
      </c>
      <c r="M112" s="2" t="n">
        <v>3.09</v>
      </c>
      <c r="N112" s="2" t="n">
        <v>100</v>
      </c>
      <c r="O112" s="2" t="n">
        <v>4.37</v>
      </c>
    </row>
    <row r="113" customFormat="false" ht="15" hidden="false" customHeight="false" outlineLevel="0" collapsed="false">
      <c r="A113" s="2" t="s">
        <v>320</v>
      </c>
      <c r="B113" s="2" t="n">
        <v>2009</v>
      </c>
      <c r="C113" s="2" t="s">
        <v>281</v>
      </c>
      <c r="D113" s="2" t="s">
        <v>282</v>
      </c>
      <c r="E113" s="2" t="n">
        <v>29</v>
      </c>
      <c r="F113" s="2" t="n">
        <v>0.18</v>
      </c>
      <c r="G113" s="2" t="n">
        <v>0.66</v>
      </c>
      <c r="H113" s="2" t="n">
        <v>0.52</v>
      </c>
      <c r="I113" s="2" t="n">
        <v>0.6</v>
      </c>
      <c r="J113" s="2" t="n">
        <v>4.14</v>
      </c>
      <c r="K113" s="2" t="n">
        <v>0.24</v>
      </c>
      <c r="L113" s="2" t="n">
        <v>0.24</v>
      </c>
      <c r="M113" s="2" t="n">
        <v>2.38</v>
      </c>
      <c r="N113" s="2" t="n">
        <v>536.09</v>
      </c>
      <c r="O113" s="2" t="n">
        <v>100</v>
      </c>
    </row>
    <row r="114" customFormat="false" ht="15" hidden="false" customHeight="false" outlineLevel="0" collapsed="false">
      <c r="A114" s="2" t="s">
        <v>322</v>
      </c>
      <c r="B114" s="2" t="n">
        <v>2009</v>
      </c>
      <c r="C114" s="2" t="s">
        <v>281</v>
      </c>
      <c r="D114" s="2" t="s">
        <v>282</v>
      </c>
      <c r="E114" s="2" t="n">
        <v>30</v>
      </c>
      <c r="F114" s="2" t="n">
        <v>0.18</v>
      </c>
      <c r="G114" s="2" t="n">
        <v>1.54</v>
      </c>
      <c r="H114" s="2" t="n">
        <v>0.76</v>
      </c>
      <c r="I114" s="2" t="n">
        <v>0.84</v>
      </c>
      <c r="J114" s="2" t="n">
        <v>6.49</v>
      </c>
      <c r="K114" s="2" t="n">
        <v>0.2</v>
      </c>
      <c r="L114" s="2" t="n">
        <v>0.23</v>
      </c>
      <c r="M114" s="2" t="n">
        <v>3.68</v>
      </c>
      <c r="N114" s="2" t="n">
        <v>100</v>
      </c>
      <c r="O114" s="2" t="n">
        <v>6</v>
      </c>
    </row>
    <row r="115" customFormat="false" ht="15" hidden="false" customHeight="false" outlineLevel="0" collapsed="false">
      <c r="A115" s="2" t="s">
        <v>324</v>
      </c>
      <c r="B115" s="2" t="n">
        <v>2009</v>
      </c>
      <c r="C115" s="2" t="s">
        <v>281</v>
      </c>
      <c r="D115" s="2" t="s">
        <v>282</v>
      </c>
      <c r="E115" s="2" t="n">
        <v>31</v>
      </c>
      <c r="F115" s="2" t="n">
        <v>0.18</v>
      </c>
      <c r="G115" s="2" t="n">
        <v>1.65</v>
      </c>
      <c r="H115" s="2" t="n">
        <v>0.71</v>
      </c>
      <c r="I115" s="2" t="n">
        <v>0.88</v>
      </c>
      <c r="J115" s="2" t="n">
        <v>6.64</v>
      </c>
      <c r="K115" s="2" t="n">
        <v>0.19</v>
      </c>
      <c r="L115" s="2" t="n">
        <v>0.23</v>
      </c>
      <c r="M115" s="2" t="n">
        <v>3.79</v>
      </c>
      <c r="N115" s="2" t="n">
        <v>100</v>
      </c>
      <c r="O115" s="2" t="n">
        <v>2.27</v>
      </c>
    </row>
    <row r="116" customFormat="false" ht="15" hidden="false" customHeight="false" outlineLevel="0" collapsed="false">
      <c r="A116" s="2" t="s">
        <v>326</v>
      </c>
      <c r="B116" s="2" t="n">
        <v>2009</v>
      </c>
      <c r="C116" s="2" t="s">
        <v>281</v>
      </c>
      <c r="D116" s="2" t="s">
        <v>282</v>
      </c>
      <c r="E116" s="2" t="n">
        <v>32</v>
      </c>
      <c r="F116" s="2" t="n">
        <v>0.18</v>
      </c>
      <c r="G116" s="2" t="n">
        <v>1.04</v>
      </c>
      <c r="H116" s="2" t="n">
        <v>0.47</v>
      </c>
      <c r="I116" s="2" t="n">
        <v>0.86</v>
      </c>
      <c r="J116" s="2" t="n">
        <v>8.52</v>
      </c>
      <c r="K116" s="2" t="n">
        <v>0.21</v>
      </c>
      <c r="L116" s="2" t="n">
        <v>0.22</v>
      </c>
      <c r="M116" s="2" t="n">
        <v>3.07</v>
      </c>
      <c r="N116" s="2" t="n">
        <v>100</v>
      </c>
      <c r="O116" s="2" t="n">
        <v>1.93</v>
      </c>
    </row>
    <row r="117" customFormat="false" ht="15" hidden="false" customHeight="false" outlineLevel="0" collapsed="false">
      <c r="A117" s="2" t="s">
        <v>328</v>
      </c>
      <c r="B117" s="2" t="n">
        <v>2009</v>
      </c>
      <c r="C117" s="2" t="s">
        <v>281</v>
      </c>
      <c r="D117" s="2" t="s">
        <v>282</v>
      </c>
      <c r="E117" s="2" t="n">
        <v>33</v>
      </c>
      <c r="F117" s="2" t="n">
        <v>0.18</v>
      </c>
      <c r="G117" s="2" t="n">
        <v>0.89</v>
      </c>
      <c r="H117" s="2" t="n">
        <v>0.43</v>
      </c>
      <c r="I117" s="2" t="n">
        <v>0.82</v>
      </c>
      <c r="J117" s="2" t="n">
        <v>7.74</v>
      </c>
      <c r="K117" s="2" t="n">
        <v>0.21</v>
      </c>
      <c r="L117" s="2" t="n">
        <v>0.23</v>
      </c>
      <c r="M117" s="2" t="n">
        <v>2.72</v>
      </c>
      <c r="N117" s="2" t="n">
        <v>100</v>
      </c>
      <c r="O117" s="2" t="n">
        <v>1.87</v>
      </c>
    </row>
    <row r="118" customFormat="false" ht="15" hidden="false" customHeight="false" outlineLevel="0" collapsed="false">
      <c r="A118" s="2" t="s">
        <v>330</v>
      </c>
      <c r="B118" s="2" t="n">
        <v>2009</v>
      </c>
      <c r="C118" s="2" t="s">
        <v>281</v>
      </c>
      <c r="D118" s="2" t="s">
        <v>282</v>
      </c>
      <c r="E118" s="2" t="n">
        <v>34</v>
      </c>
      <c r="F118" s="2" t="n">
        <v>0.18</v>
      </c>
      <c r="G118" s="2" t="n">
        <v>1.31</v>
      </c>
      <c r="H118" s="2" t="n">
        <v>0.51</v>
      </c>
      <c r="I118" s="2" t="n">
        <v>0.85</v>
      </c>
      <c r="J118" s="2" t="n">
        <v>7.22</v>
      </c>
      <c r="K118" s="2" t="n">
        <v>0.2</v>
      </c>
      <c r="L118" s="2" t="n">
        <v>0.23</v>
      </c>
      <c r="M118" s="2" t="n">
        <v>3.31</v>
      </c>
      <c r="N118" s="2" t="n">
        <v>165.14</v>
      </c>
      <c r="O118" s="2" t="n">
        <v>3.44</v>
      </c>
    </row>
    <row r="119" customFormat="false" ht="15" hidden="false" customHeight="false" outlineLevel="0" collapsed="false">
      <c r="A119" s="2" t="s">
        <v>332</v>
      </c>
      <c r="B119" s="2" t="n">
        <v>2009</v>
      </c>
      <c r="C119" s="2" t="s">
        <v>281</v>
      </c>
      <c r="D119" s="2" t="s">
        <v>282</v>
      </c>
      <c r="E119" s="2" t="n">
        <v>35</v>
      </c>
      <c r="F119" s="2" t="n">
        <v>0.18</v>
      </c>
      <c r="G119" s="2" t="n">
        <v>0.83</v>
      </c>
      <c r="H119" s="2" t="n">
        <v>0.4</v>
      </c>
      <c r="I119" s="2" t="n">
        <v>0.8</v>
      </c>
      <c r="J119" s="2" t="n">
        <v>7.46</v>
      </c>
      <c r="K119" s="2" t="n">
        <v>0.21</v>
      </c>
      <c r="L119" s="2" t="n">
        <v>0.23</v>
      </c>
      <c r="M119" s="2" t="n">
        <v>2.73</v>
      </c>
      <c r="N119" s="2" t="n">
        <v>100</v>
      </c>
      <c r="O119" s="2" t="n">
        <v>2.53</v>
      </c>
    </row>
    <row r="120" customFormat="false" ht="15" hidden="false" customHeight="false" outlineLevel="0" collapsed="false">
      <c r="A120" s="2" t="s">
        <v>334</v>
      </c>
      <c r="B120" s="2" t="n">
        <v>2009</v>
      </c>
      <c r="C120" s="2" t="s">
        <v>281</v>
      </c>
      <c r="D120" s="2" t="s">
        <v>282</v>
      </c>
      <c r="E120" s="2" t="n">
        <v>36</v>
      </c>
      <c r="F120" s="2" t="n">
        <v>0.18</v>
      </c>
      <c r="G120" s="2" t="n">
        <v>1.07</v>
      </c>
      <c r="H120" s="2" t="n">
        <v>0.48</v>
      </c>
      <c r="I120" s="2" t="n">
        <v>0.86</v>
      </c>
      <c r="J120" s="2" t="n">
        <v>7.83</v>
      </c>
      <c r="K120" s="2" t="n">
        <v>0.21</v>
      </c>
      <c r="L120" s="2" t="n">
        <v>0.22</v>
      </c>
      <c r="M120" s="2" t="n">
        <v>2.93</v>
      </c>
      <c r="N120" s="2" t="n">
        <v>45.99</v>
      </c>
      <c r="O120" s="2" t="n">
        <v>1.94</v>
      </c>
    </row>
    <row r="121" customFormat="false" ht="15" hidden="false" customHeight="false" outlineLevel="0" collapsed="false">
      <c r="A121" s="2" t="s">
        <v>336</v>
      </c>
      <c r="B121" s="2" t="n">
        <v>2009</v>
      </c>
      <c r="C121" s="2" t="s">
        <v>281</v>
      </c>
      <c r="D121" s="2" t="s">
        <v>282</v>
      </c>
      <c r="E121" s="2" t="n">
        <v>37</v>
      </c>
      <c r="F121" s="2" t="n">
        <v>0.18</v>
      </c>
      <c r="G121" s="2" t="n">
        <v>0.81</v>
      </c>
      <c r="H121" s="2" t="n">
        <v>0.43</v>
      </c>
      <c r="I121" s="2" t="n">
        <v>0.77</v>
      </c>
      <c r="J121" s="2" t="n">
        <v>6.09</v>
      </c>
      <c r="K121" s="2" t="n">
        <v>0.22</v>
      </c>
      <c r="L121" s="2" t="n">
        <v>0.23</v>
      </c>
      <c r="M121" s="2" t="n">
        <v>2.59</v>
      </c>
      <c r="N121" s="2" t="n">
        <v>10.4</v>
      </c>
      <c r="O121" s="2" t="n">
        <v>4.98</v>
      </c>
    </row>
    <row r="122" customFormat="false" ht="15" hidden="false" customHeight="false" outlineLevel="0" collapsed="false">
      <c r="A122" s="2" t="s">
        <v>338</v>
      </c>
      <c r="B122" s="2" t="n">
        <v>2009</v>
      </c>
      <c r="C122" s="2" t="s">
        <v>281</v>
      </c>
      <c r="D122" s="2" t="s">
        <v>282</v>
      </c>
      <c r="E122" s="2" t="n">
        <v>38</v>
      </c>
      <c r="F122" s="2" t="n">
        <v>0.18</v>
      </c>
      <c r="G122" s="2" t="n">
        <v>0.95</v>
      </c>
      <c r="H122" s="2" t="n">
        <v>0.55</v>
      </c>
      <c r="I122" s="2" t="n">
        <v>0.77</v>
      </c>
      <c r="J122" s="2" t="n">
        <v>6.6</v>
      </c>
      <c r="K122" s="2" t="n">
        <v>0.21</v>
      </c>
      <c r="L122" s="2" t="n">
        <v>0.23</v>
      </c>
      <c r="M122" s="2" t="n">
        <v>2.74</v>
      </c>
      <c r="N122" s="2" t="n">
        <v>10.92</v>
      </c>
      <c r="O122" s="2" t="n">
        <v>15.01</v>
      </c>
    </row>
    <row r="123" customFormat="false" ht="15" hidden="false" customHeight="false" outlineLevel="0" collapsed="false">
      <c r="A123" s="2" t="s">
        <v>340</v>
      </c>
      <c r="B123" s="2" t="n">
        <v>2009</v>
      </c>
      <c r="C123" s="2" t="s">
        <v>281</v>
      </c>
      <c r="D123" s="2" t="s">
        <v>282</v>
      </c>
      <c r="E123" s="2" t="n">
        <v>39</v>
      </c>
      <c r="F123" s="2" t="n">
        <v>0.18</v>
      </c>
      <c r="G123" s="2" t="n">
        <v>1.75</v>
      </c>
      <c r="H123" s="2" t="n">
        <v>0.5</v>
      </c>
      <c r="I123" s="2" t="n">
        <v>0.86</v>
      </c>
      <c r="J123" s="2" t="n">
        <v>6.7</v>
      </c>
      <c r="K123" s="2" t="n">
        <v>0.19</v>
      </c>
      <c r="L123" s="2" t="n">
        <v>0.24</v>
      </c>
      <c r="M123" s="2" t="n">
        <v>4.16</v>
      </c>
      <c r="N123" s="2" t="n">
        <v>20.86</v>
      </c>
      <c r="O123" s="2" t="n">
        <v>2.43</v>
      </c>
    </row>
    <row r="124" customFormat="false" ht="15" hidden="false" customHeight="false" outlineLevel="0" collapsed="false">
      <c r="A124" s="2" t="s">
        <v>342</v>
      </c>
      <c r="B124" s="2" t="n">
        <v>2009</v>
      </c>
      <c r="C124" s="2" t="s">
        <v>281</v>
      </c>
      <c r="D124" s="2" t="s">
        <v>282</v>
      </c>
      <c r="E124" s="2" t="n">
        <v>40</v>
      </c>
      <c r="F124" s="2" t="n">
        <v>0.18</v>
      </c>
      <c r="G124" s="2" t="n">
        <v>1.05</v>
      </c>
      <c r="H124" s="2" t="n">
        <v>0.45</v>
      </c>
      <c r="I124" s="2" t="n">
        <v>0.87</v>
      </c>
      <c r="J124" s="2" t="n">
        <v>7.01</v>
      </c>
      <c r="K124" s="2" t="n">
        <v>0.21</v>
      </c>
      <c r="L124" s="2" t="n">
        <v>0.23</v>
      </c>
      <c r="M124" s="2" t="n">
        <v>2.87</v>
      </c>
      <c r="N124" s="2" t="n">
        <v>49.98</v>
      </c>
      <c r="O124" s="2" t="n">
        <v>1.55</v>
      </c>
    </row>
    <row r="125" customFormat="false" ht="15" hidden="false" customHeight="false" outlineLevel="0" collapsed="false">
      <c r="A125" s="2" t="s">
        <v>344</v>
      </c>
      <c r="B125" s="2" t="n">
        <v>2009</v>
      </c>
      <c r="C125" s="2" t="s">
        <v>281</v>
      </c>
      <c r="D125" s="2" t="s">
        <v>282</v>
      </c>
      <c r="E125" s="2" t="n">
        <v>41</v>
      </c>
      <c r="F125" s="2" t="n">
        <v>0.18</v>
      </c>
      <c r="G125" s="2" t="n">
        <v>0.9</v>
      </c>
      <c r="H125" s="2" t="n">
        <v>0.41</v>
      </c>
      <c r="I125" s="2" t="n">
        <v>0.82</v>
      </c>
      <c r="J125" s="2" t="n">
        <v>7.63</v>
      </c>
      <c r="K125" s="2" t="n">
        <v>0.21</v>
      </c>
      <c r="L125" s="2" t="n">
        <v>0.23</v>
      </c>
      <c r="M125" s="2" t="n">
        <v>2.93</v>
      </c>
      <c r="N125" s="2" t="n">
        <v>187.75</v>
      </c>
      <c r="O125" s="2" t="n">
        <v>1.87</v>
      </c>
    </row>
    <row r="126" customFormat="false" ht="15" hidden="false" customHeight="false" outlineLevel="0" collapsed="false">
      <c r="A126" s="2" t="s">
        <v>346</v>
      </c>
      <c r="B126" s="2" t="n">
        <v>2009</v>
      </c>
      <c r="C126" s="2" t="s">
        <v>281</v>
      </c>
      <c r="D126" s="2" t="s">
        <v>282</v>
      </c>
      <c r="E126" s="2" t="n">
        <v>42</v>
      </c>
      <c r="F126" s="2" t="n">
        <v>0.18</v>
      </c>
      <c r="G126" s="2" t="n">
        <v>1.04</v>
      </c>
      <c r="H126" s="2" t="n">
        <v>0.49</v>
      </c>
      <c r="I126" s="2" t="n">
        <v>0.83</v>
      </c>
      <c r="J126" s="2" t="n">
        <v>6.5</v>
      </c>
      <c r="K126" s="2" t="n">
        <v>0.21</v>
      </c>
      <c r="L126" s="2" t="n">
        <v>0.23</v>
      </c>
      <c r="M126" s="2" t="n">
        <v>2.87</v>
      </c>
      <c r="N126" s="2" t="n">
        <v>100</v>
      </c>
      <c r="O126" s="2" t="n">
        <v>3.4</v>
      </c>
    </row>
    <row r="127" customFormat="false" ht="15" hidden="false" customHeight="false" outlineLevel="0" collapsed="false">
      <c r="A127" s="2" t="s">
        <v>348</v>
      </c>
      <c r="B127" s="2" t="n">
        <v>2009</v>
      </c>
      <c r="C127" s="2" t="s">
        <v>281</v>
      </c>
      <c r="D127" s="2" t="s">
        <v>282</v>
      </c>
      <c r="E127" s="2" t="n">
        <v>43</v>
      </c>
      <c r="F127" s="2" t="n">
        <v>0.18</v>
      </c>
      <c r="G127" s="2" t="n">
        <v>1.41</v>
      </c>
      <c r="H127" s="2" t="n">
        <v>0.7</v>
      </c>
      <c r="I127" s="2" t="n">
        <v>0.79</v>
      </c>
      <c r="J127" s="2" t="n">
        <v>5.44</v>
      </c>
      <c r="K127" s="2" t="n">
        <v>0.19</v>
      </c>
      <c r="L127" s="2" t="n">
        <v>0.25</v>
      </c>
      <c r="M127" s="2" t="n">
        <v>4.16</v>
      </c>
      <c r="N127" s="2" t="n">
        <v>100</v>
      </c>
      <c r="O127" s="2" t="n">
        <v>4.47</v>
      </c>
    </row>
    <row r="128" customFormat="false" ht="15" hidden="false" customHeight="false" outlineLevel="0" collapsed="false">
      <c r="A128" s="2" t="s">
        <v>350</v>
      </c>
      <c r="B128" s="2" t="n">
        <v>2009</v>
      </c>
      <c r="C128" s="2" t="s">
        <v>281</v>
      </c>
      <c r="D128" s="2" t="s">
        <v>282</v>
      </c>
      <c r="E128" s="2" t="n">
        <v>44</v>
      </c>
      <c r="F128" s="2" t="n">
        <v>0.19</v>
      </c>
      <c r="G128" s="2" t="n">
        <v>0.76</v>
      </c>
      <c r="H128" s="2" t="n">
        <v>0.41</v>
      </c>
      <c r="I128" s="2" t="n">
        <v>0.81</v>
      </c>
      <c r="J128" s="2" t="n">
        <v>8.83</v>
      </c>
      <c r="K128" s="2" t="n">
        <v>0.22</v>
      </c>
      <c r="L128" s="2" t="n">
        <v>0.23</v>
      </c>
      <c r="M128" s="2" t="n">
        <v>2.87</v>
      </c>
      <c r="N128" s="2" t="n">
        <v>100</v>
      </c>
      <c r="O128" s="2" t="n">
        <v>2.54</v>
      </c>
    </row>
    <row r="129" customFormat="false" ht="15" hidden="false" customHeight="false" outlineLevel="0" collapsed="false">
      <c r="A129" s="2" t="s">
        <v>352</v>
      </c>
      <c r="B129" s="2" t="n">
        <v>2009</v>
      </c>
      <c r="C129" s="2" t="s">
        <v>281</v>
      </c>
      <c r="D129" s="2" t="s">
        <v>282</v>
      </c>
      <c r="E129" s="2" t="n">
        <v>45</v>
      </c>
      <c r="F129" s="2" t="n">
        <v>0.18</v>
      </c>
      <c r="G129" s="2" t="n">
        <v>0.94</v>
      </c>
      <c r="H129" s="2" t="n">
        <v>0.56</v>
      </c>
      <c r="I129" s="2" t="n">
        <v>0.75</v>
      </c>
      <c r="J129" s="2" t="n">
        <v>6.14</v>
      </c>
      <c r="K129" s="2" t="n">
        <v>0.22</v>
      </c>
      <c r="L129" s="2" t="n">
        <v>0.23</v>
      </c>
      <c r="M129" s="2" t="n">
        <v>3.02</v>
      </c>
      <c r="N129" s="2" t="n">
        <v>100</v>
      </c>
      <c r="O129" s="2" t="n">
        <v>17.25</v>
      </c>
    </row>
    <row r="130" customFormat="false" ht="15" hidden="false" customHeight="false" outlineLevel="0" collapsed="false">
      <c r="A130" s="2" t="s">
        <v>354</v>
      </c>
      <c r="B130" s="2" t="n">
        <v>2009</v>
      </c>
      <c r="C130" s="2" t="s">
        <v>281</v>
      </c>
      <c r="D130" s="2" t="s">
        <v>282</v>
      </c>
      <c r="E130" s="2" t="n">
        <v>57</v>
      </c>
      <c r="F130" s="2" t="n">
        <v>0.18</v>
      </c>
      <c r="G130" s="2" t="n">
        <v>1.55</v>
      </c>
      <c r="H130" s="2" t="n">
        <v>0.66</v>
      </c>
      <c r="I130" s="2" t="n">
        <v>0.86</v>
      </c>
      <c r="J130" s="2" t="n">
        <v>6.68</v>
      </c>
      <c r="K130" s="2" t="n">
        <v>0.2</v>
      </c>
      <c r="L130" s="2" t="n">
        <v>0.24</v>
      </c>
      <c r="M130" s="2" t="n">
        <v>3.81</v>
      </c>
      <c r="N130" s="2" t="n">
        <v>100</v>
      </c>
      <c r="O130" s="2" t="n">
        <v>3.66</v>
      </c>
    </row>
    <row r="131" customFormat="false" ht="15" hidden="false" customHeight="false" outlineLevel="0" collapsed="false">
      <c r="A131" s="2" t="s">
        <v>356</v>
      </c>
      <c r="B131" s="2" t="n">
        <v>2009</v>
      </c>
      <c r="C131" s="2" t="s">
        <v>281</v>
      </c>
      <c r="D131" s="2" t="s">
        <v>282</v>
      </c>
      <c r="E131" s="2" t="n">
        <v>58</v>
      </c>
      <c r="F131" s="2" t="n">
        <v>0.19</v>
      </c>
      <c r="G131" s="2" t="n">
        <v>0.81</v>
      </c>
      <c r="H131" s="2" t="n">
        <v>0.4</v>
      </c>
      <c r="I131" s="2" t="n">
        <v>0.85</v>
      </c>
      <c r="J131" s="2" t="n">
        <v>8.36</v>
      </c>
      <c r="K131" s="2" t="n">
        <v>0.22</v>
      </c>
      <c r="L131" s="2" t="n">
        <v>0.23</v>
      </c>
      <c r="M131" s="2" t="n">
        <v>2.7</v>
      </c>
      <c r="N131" s="2" t="n">
        <v>100</v>
      </c>
      <c r="O131" s="2" t="n">
        <v>2.19</v>
      </c>
    </row>
    <row r="132" customFormat="false" ht="15" hidden="false" customHeight="false" outlineLevel="0" collapsed="false">
      <c r="A132" s="2" t="s">
        <v>358</v>
      </c>
      <c r="B132" s="2" t="n">
        <v>2009</v>
      </c>
      <c r="C132" s="2" t="s">
        <v>281</v>
      </c>
      <c r="D132" s="2" t="s">
        <v>282</v>
      </c>
      <c r="E132" s="2" t="n">
        <v>59</v>
      </c>
      <c r="F132" s="2" t="n">
        <v>0.18</v>
      </c>
      <c r="G132" s="2" t="n">
        <v>1.02</v>
      </c>
      <c r="H132" s="2" t="n">
        <v>0.48</v>
      </c>
      <c r="I132" s="2" t="n">
        <v>0.89</v>
      </c>
      <c r="J132" s="2" t="n">
        <v>7.78</v>
      </c>
      <c r="K132" s="2" t="n">
        <v>0.21</v>
      </c>
      <c r="L132" s="2" t="n">
        <v>0.23</v>
      </c>
      <c r="M132" s="2" t="n">
        <v>2.98</v>
      </c>
      <c r="N132" s="2" t="n">
        <v>100</v>
      </c>
      <c r="O132" s="2" t="n">
        <v>2.13</v>
      </c>
    </row>
    <row r="133" customFormat="false" ht="15" hidden="false" customHeight="false" outlineLevel="0" collapsed="false">
      <c r="A133" s="2" t="s">
        <v>360</v>
      </c>
      <c r="B133" s="2" t="n">
        <v>2009</v>
      </c>
      <c r="C133" s="2" t="s">
        <v>281</v>
      </c>
      <c r="D133" s="2" t="s">
        <v>282</v>
      </c>
      <c r="E133" s="2" t="n">
        <v>60</v>
      </c>
      <c r="F133" s="2" t="n">
        <v>0.18</v>
      </c>
      <c r="G133" s="2" t="n">
        <v>0.9</v>
      </c>
      <c r="H133" s="2" t="n">
        <v>0.41</v>
      </c>
      <c r="I133" s="2" t="n">
        <v>0.83</v>
      </c>
      <c r="J133" s="2" t="n">
        <v>7.19</v>
      </c>
      <c r="K133" s="2" t="n">
        <v>0.22</v>
      </c>
      <c r="L133" s="2" t="n">
        <v>0.23</v>
      </c>
      <c r="M133" s="2" t="n">
        <v>2.51</v>
      </c>
      <c r="N133" s="2" t="n">
        <v>78.86</v>
      </c>
      <c r="O133" s="2" t="n">
        <v>2.88</v>
      </c>
    </row>
    <row r="134" customFormat="false" ht="15" hidden="false" customHeight="false" outlineLevel="0" collapsed="false">
      <c r="A134" s="2" t="s">
        <v>362</v>
      </c>
      <c r="B134" s="2" t="n">
        <v>2009</v>
      </c>
      <c r="C134" s="2" t="s">
        <v>281</v>
      </c>
      <c r="D134" s="2" t="s">
        <v>282</v>
      </c>
      <c r="E134" s="2" t="n">
        <v>65</v>
      </c>
      <c r="F134" s="2" t="n">
        <v>0.18</v>
      </c>
      <c r="G134" s="2" t="n">
        <v>1.53</v>
      </c>
      <c r="H134" s="2" t="n">
        <v>0.72</v>
      </c>
      <c r="I134" s="2" t="n">
        <v>0.83</v>
      </c>
      <c r="J134" s="2" t="n">
        <v>5.56</v>
      </c>
      <c r="K134" s="2" t="n">
        <v>0.19</v>
      </c>
      <c r="L134" s="2" t="n">
        <v>0.24</v>
      </c>
      <c r="M134" s="2" t="n">
        <v>4.78</v>
      </c>
      <c r="N134" s="2" t="n">
        <v>100</v>
      </c>
      <c r="O134" s="2" t="n">
        <v>2.69</v>
      </c>
    </row>
    <row r="135" customFormat="false" ht="15" hidden="false" customHeight="false" outlineLevel="0" collapsed="false">
      <c r="A135" s="2" t="s">
        <v>364</v>
      </c>
      <c r="B135" s="2" t="n">
        <v>2009</v>
      </c>
      <c r="C135" s="2" t="s">
        <v>281</v>
      </c>
      <c r="D135" s="2" t="s">
        <v>282</v>
      </c>
      <c r="E135" s="2" t="n">
        <v>66</v>
      </c>
      <c r="F135" s="2" t="n">
        <v>0.19</v>
      </c>
      <c r="G135" s="2" t="n">
        <v>0.84</v>
      </c>
      <c r="H135" s="2" t="n">
        <v>0.41</v>
      </c>
      <c r="I135" s="2" t="n">
        <v>0.86</v>
      </c>
      <c r="J135" s="2" t="n">
        <v>8.1</v>
      </c>
      <c r="K135" s="2" t="n">
        <v>0.22</v>
      </c>
      <c r="L135" s="2" t="n">
        <v>0.23</v>
      </c>
      <c r="M135" s="2" t="n">
        <v>2.95</v>
      </c>
      <c r="N135" s="2" t="n">
        <v>100</v>
      </c>
      <c r="O135" s="2" t="n">
        <v>1.52</v>
      </c>
    </row>
    <row r="136" customFormat="false" ht="15" hidden="false" customHeight="false" outlineLevel="0" collapsed="false">
      <c r="A136" s="2" t="s">
        <v>366</v>
      </c>
      <c r="B136" s="2" t="n">
        <v>2009</v>
      </c>
      <c r="C136" s="2" t="s">
        <v>281</v>
      </c>
      <c r="D136" s="2" t="s">
        <v>282</v>
      </c>
      <c r="E136" s="2" t="n">
        <v>67</v>
      </c>
      <c r="F136" s="2" t="n">
        <v>0.18</v>
      </c>
      <c r="G136" s="2" t="n">
        <v>1.17</v>
      </c>
      <c r="H136" s="2" t="n">
        <v>0.48</v>
      </c>
      <c r="I136" s="2" t="n">
        <v>0.91</v>
      </c>
      <c r="J136" s="2" t="n">
        <v>6.35</v>
      </c>
      <c r="K136" s="2" t="n">
        <v>0.21</v>
      </c>
      <c r="L136" s="2" t="n">
        <v>0.23</v>
      </c>
      <c r="M136" s="2" t="n">
        <v>3.07</v>
      </c>
      <c r="N136" s="2" t="n">
        <v>100</v>
      </c>
      <c r="O136" s="2" t="n">
        <v>1.47</v>
      </c>
    </row>
    <row r="137" customFormat="false" ht="15" hidden="false" customHeight="false" outlineLevel="0" collapsed="false">
      <c r="A137" s="2" t="s">
        <v>368</v>
      </c>
      <c r="B137" s="2" t="n">
        <v>2009</v>
      </c>
      <c r="C137" s="2" t="s">
        <v>281</v>
      </c>
      <c r="D137" s="2" t="s">
        <v>282</v>
      </c>
      <c r="E137" s="2" t="n">
        <v>68</v>
      </c>
      <c r="F137" s="2" t="n">
        <v>0.18</v>
      </c>
      <c r="G137" s="2" t="n">
        <v>0.97</v>
      </c>
      <c r="H137" s="2" t="n">
        <v>0.47</v>
      </c>
      <c r="I137" s="2" t="n">
        <v>0.83</v>
      </c>
      <c r="J137" s="2" t="n">
        <v>7.2</v>
      </c>
      <c r="K137" s="2" t="n">
        <v>0.21</v>
      </c>
      <c r="L137" s="2" t="n">
        <v>0.23</v>
      </c>
      <c r="M137" s="2" t="n">
        <v>2.97</v>
      </c>
      <c r="N137" s="2" t="n">
        <v>100</v>
      </c>
      <c r="O137" s="2" t="n">
        <v>3.33</v>
      </c>
    </row>
    <row r="138" customFormat="false" ht="15" hidden="false" customHeight="false" outlineLevel="0" collapsed="false">
      <c r="A138" s="2" t="s">
        <v>370</v>
      </c>
      <c r="B138" s="2" t="n">
        <v>2009</v>
      </c>
      <c r="C138" s="2" t="s">
        <v>281</v>
      </c>
      <c r="D138" s="2" t="s">
        <v>282</v>
      </c>
      <c r="E138" s="2" t="n">
        <v>69</v>
      </c>
      <c r="F138" s="2" t="n">
        <v>0.18</v>
      </c>
      <c r="G138" s="2" t="n">
        <v>1.76</v>
      </c>
      <c r="H138" s="2" t="n">
        <v>0.7</v>
      </c>
      <c r="I138" s="2" t="n">
        <v>0.85</v>
      </c>
      <c r="J138" s="2" t="n">
        <v>5.95</v>
      </c>
      <c r="K138" s="2" t="n">
        <v>0.19</v>
      </c>
      <c r="L138" s="2" t="n">
        <v>0.25</v>
      </c>
      <c r="M138" s="2" t="n">
        <v>4.14</v>
      </c>
      <c r="N138" s="2" t="n">
        <v>100</v>
      </c>
      <c r="O138" s="2" t="n">
        <v>2.11</v>
      </c>
    </row>
    <row r="139" customFormat="false" ht="15" hidden="false" customHeight="false" outlineLevel="0" collapsed="false">
      <c r="A139" s="2" t="s">
        <v>372</v>
      </c>
      <c r="B139" s="2" t="n">
        <v>2009</v>
      </c>
      <c r="C139" s="2" t="s">
        <v>281</v>
      </c>
      <c r="D139" s="2" t="s">
        <v>282</v>
      </c>
      <c r="E139" s="2" t="n">
        <v>70</v>
      </c>
      <c r="F139" s="2" t="n">
        <v>0.18</v>
      </c>
      <c r="G139" s="2" t="n">
        <v>0.85</v>
      </c>
      <c r="H139" s="2" t="n">
        <v>0.41</v>
      </c>
      <c r="I139" s="2" t="n">
        <v>0.85</v>
      </c>
      <c r="J139" s="2" t="n">
        <v>7.03</v>
      </c>
      <c r="K139" s="2" t="n">
        <v>0.22</v>
      </c>
      <c r="L139" s="2" t="n">
        <v>0.23</v>
      </c>
      <c r="M139" s="2" t="n">
        <v>2.84</v>
      </c>
      <c r="N139" s="2" t="n">
        <v>100</v>
      </c>
      <c r="O139" s="2" t="n">
        <v>1.75</v>
      </c>
    </row>
    <row r="140" customFormat="false" ht="15" hidden="false" customHeight="false" outlineLevel="0" collapsed="false">
      <c r="A140" s="2" t="s">
        <v>374</v>
      </c>
      <c r="B140" s="2" t="n">
        <v>2009</v>
      </c>
      <c r="C140" s="2" t="s">
        <v>281</v>
      </c>
      <c r="D140" s="2" t="s">
        <v>282</v>
      </c>
      <c r="E140" s="2" t="n">
        <v>71</v>
      </c>
      <c r="F140" s="2" t="n">
        <v>0.18</v>
      </c>
      <c r="G140" s="2" t="n">
        <v>0.98</v>
      </c>
      <c r="H140" s="2" t="n">
        <v>0.52</v>
      </c>
      <c r="I140" s="2" t="n">
        <v>0.78</v>
      </c>
      <c r="J140" s="2" t="n">
        <v>5.59</v>
      </c>
      <c r="K140" s="2" t="n">
        <v>0.21</v>
      </c>
      <c r="L140" s="2" t="n">
        <v>0.23</v>
      </c>
      <c r="M140" s="2" t="n">
        <v>2.91</v>
      </c>
      <c r="N140" s="2" t="n">
        <v>100</v>
      </c>
      <c r="O140" s="2" t="n">
        <v>9.91</v>
      </c>
    </row>
    <row r="141" customFormat="false" ht="15" hidden="false" customHeight="false" outlineLevel="0" collapsed="false">
      <c r="A141" s="2" t="s">
        <v>376</v>
      </c>
      <c r="B141" s="2" t="n">
        <v>2009</v>
      </c>
      <c r="C141" s="2" t="s">
        <v>281</v>
      </c>
      <c r="D141" s="2" t="s">
        <v>282</v>
      </c>
      <c r="E141" s="2" t="n">
        <v>72</v>
      </c>
      <c r="F141" s="2" t="n">
        <v>0.19</v>
      </c>
      <c r="G141" s="2" t="n">
        <v>0.75</v>
      </c>
      <c r="H141" s="2" t="n">
        <v>0.46</v>
      </c>
      <c r="I141" s="2" t="n">
        <v>0.69</v>
      </c>
      <c r="J141" s="2" t="n">
        <v>4.89</v>
      </c>
      <c r="K141" s="2" t="n">
        <v>0.22</v>
      </c>
      <c r="L141" s="2" t="n">
        <v>0.24</v>
      </c>
      <c r="M141" s="2" t="n">
        <v>3.04</v>
      </c>
      <c r="N141" s="2" t="n">
        <v>953.44</v>
      </c>
      <c r="O141" s="2" t="n">
        <v>40.07</v>
      </c>
    </row>
    <row r="142" customFormat="false" ht="15" hidden="false" customHeight="false" outlineLevel="0" collapsed="false">
      <c r="A142" s="2" t="s">
        <v>378</v>
      </c>
      <c r="B142" s="2" t="n">
        <v>2009</v>
      </c>
      <c r="C142" s="2" t="s">
        <v>281</v>
      </c>
      <c r="D142" s="2" t="s">
        <v>282</v>
      </c>
      <c r="E142" s="2" t="n">
        <v>73</v>
      </c>
      <c r="F142" s="2" t="n">
        <v>0.18</v>
      </c>
      <c r="G142" s="2" t="n">
        <v>1.3</v>
      </c>
      <c r="H142" s="2" t="n">
        <v>0.69</v>
      </c>
      <c r="I142" s="2" t="n">
        <v>0.79</v>
      </c>
      <c r="J142" s="2" t="n">
        <v>5.49</v>
      </c>
      <c r="K142" s="2" t="n">
        <v>0.2</v>
      </c>
      <c r="L142" s="2" t="n">
        <v>0.24</v>
      </c>
      <c r="M142" s="2" t="n">
        <v>3.32</v>
      </c>
      <c r="N142" s="2" t="n">
        <v>100</v>
      </c>
      <c r="O142" s="2" t="n">
        <v>16.12</v>
      </c>
    </row>
    <row r="143" customFormat="false" ht="15" hidden="false" customHeight="false" outlineLevel="0" collapsed="false">
      <c r="A143" s="2" t="s">
        <v>380</v>
      </c>
      <c r="B143" s="2" t="n">
        <v>2009</v>
      </c>
      <c r="C143" s="2" t="s">
        <v>281</v>
      </c>
      <c r="D143" s="2" t="s">
        <v>282</v>
      </c>
      <c r="E143" s="2" t="n">
        <v>74</v>
      </c>
      <c r="F143" s="2" t="n">
        <v>0.18</v>
      </c>
      <c r="G143" s="2" t="n">
        <v>1.04</v>
      </c>
      <c r="H143" s="2" t="n">
        <v>0.47</v>
      </c>
      <c r="I143" s="2" t="n">
        <v>0.9</v>
      </c>
      <c r="J143" s="2" t="n">
        <v>8.84</v>
      </c>
      <c r="K143" s="2" t="n">
        <v>0.21</v>
      </c>
      <c r="L143" s="2" t="n">
        <v>0.22</v>
      </c>
      <c r="M143" s="2" t="n">
        <v>3.07</v>
      </c>
      <c r="N143" s="2" t="n">
        <v>100</v>
      </c>
      <c r="O143" s="2" t="n">
        <v>1.78</v>
      </c>
    </row>
    <row r="144" customFormat="false" ht="15" hidden="false" customHeight="false" outlineLevel="0" collapsed="false">
      <c r="A144" s="2" t="s">
        <v>382</v>
      </c>
      <c r="B144" s="2" t="n">
        <v>2009</v>
      </c>
      <c r="C144" s="2" t="s">
        <v>281</v>
      </c>
      <c r="D144" s="2" t="s">
        <v>282</v>
      </c>
      <c r="E144" s="2" t="n">
        <v>75</v>
      </c>
      <c r="F144" s="2" t="n">
        <v>0.18</v>
      </c>
      <c r="G144" s="2" t="n">
        <v>0.9</v>
      </c>
      <c r="H144" s="2" t="n">
        <v>0.51</v>
      </c>
      <c r="I144" s="2" t="n">
        <v>0.79</v>
      </c>
      <c r="J144" s="2" t="n">
        <v>6.34</v>
      </c>
      <c r="K144" s="2" t="n">
        <v>0.22</v>
      </c>
      <c r="L144" s="2" t="n">
        <v>0.23</v>
      </c>
      <c r="M144" s="2" t="n">
        <v>2.99</v>
      </c>
      <c r="N144" s="2" t="n">
        <v>100</v>
      </c>
      <c r="O144" s="2" t="n">
        <v>14.96</v>
      </c>
    </row>
    <row r="145" customFormat="false" ht="15" hidden="false" customHeight="false" outlineLevel="0" collapsed="false">
      <c r="A145" s="2" t="s">
        <v>384</v>
      </c>
      <c r="B145" s="2" t="n">
        <v>2009</v>
      </c>
      <c r="C145" s="2" t="s">
        <v>281</v>
      </c>
      <c r="D145" s="2" t="s">
        <v>282</v>
      </c>
      <c r="E145" s="2" t="n">
        <v>76</v>
      </c>
      <c r="F145" s="2" t="n">
        <v>0.19</v>
      </c>
      <c r="G145" s="2" t="n">
        <v>0.73</v>
      </c>
      <c r="H145" s="2" t="n">
        <v>0.56</v>
      </c>
      <c r="I145" s="2" t="n">
        <v>0.6</v>
      </c>
      <c r="J145" s="2" t="n">
        <v>3.94</v>
      </c>
      <c r="K145" s="2" t="n">
        <v>0.25</v>
      </c>
      <c r="L145" s="2" t="n">
        <v>0.25</v>
      </c>
      <c r="M145" s="2" t="n">
        <v>2.45</v>
      </c>
      <c r="N145" s="2" t="n">
        <v>35.66</v>
      </c>
      <c r="O145" s="2" t="n">
        <v>83.95</v>
      </c>
    </row>
    <row r="147" customFormat="false" ht="15" hidden="false" customHeight="false" outlineLevel="0" collapsed="false">
      <c r="A147" s="3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16" min="6" style="0" width="8"/>
  </cols>
  <sheetData>
    <row r="1" customFormat="false" ht="15" hidden="false" customHeight="false" outlineLevel="0" collapsed="false">
      <c r="A1" s="4" t="s">
        <v>397</v>
      </c>
    </row>
    <row r="2" customFormat="false" ht="15" hidden="false" customHeight="false" outlineLevel="0" collapsed="false">
      <c r="A2" s="1" t="s">
        <v>3</v>
      </c>
      <c r="B2" s="1" t="s">
        <v>398</v>
      </c>
      <c r="C2" s="1" t="s">
        <v>399</v>
      </c>
      <c r="D2" s="1" t="s">
        <v>400</v>
      </c>
      <c r="E2" s="1" t="s">
        <v>5</v>
      </c>
      <c r="F2" s="1" t="s">
        <v>401</v>
      </c>
      <c r="G2" s="1" t="s">
        <v>402</v>
      </c>
      <c r="H2" s="1" t="s">
        <v>403</v>
      </c>
      <c r="I2" s="1" t="s">
        <v>404</v>
      </c>
      <c r="J2" s="1" t="s">
        <v>405</v>
      </c>
      <c r="K2" s="1" t="s">
        <v>406</v>
      </c>
      <c r="L2" s="1" t="s">
        <v>407</v>
      </c>
      <c r="M2" s="1" t="s">
        <v>408</v>
      </c>
      <c r="N2" s="1" t="s">
        <v>409</v>
      </c>
      <c r="O2" s="1" t="s">
        <v>410</v>
      </c>
      <c r="P2" s="1" t="s">
        <v>20</v>
      </c>
    </row>
    <row r="3" customFormat="false" ht="15" hidden="false" customHeight="false" outlineLevel="0" collapsed="false">
      <c r="A3" s="2" t="s">
        <v>188</v>
      </c>
      <c r="B3" s="2" t="s">
        <v>411</v>
      </c>
      <c r="C3" s="2" t="s">
        <v>412</v>
      </c>
      <c r="D3" s="2" t="n">
        <v>1</v>
      </c>
      <c r="E3" s="2" t="s">
        <v>413</v>
      </c>
      <c r="F3" s="5" t="n">
        <v>50.8436670295378</v>
      </c>
      <c r="G3" s="5" t="n">
        <v>0.8783</v>
      </c>
      <c r="H3" s="5" t="n">
        <v>8.2</v>
      </c>
      <c r="I3" s="5" t="n">
        <v>6.19</v>
      </c>
      <c r="J3" s="5" t="n">
        <v>0.1441</v>
      </c>
      <c r="K3" s="5" t="n">
        <v>15.9420239888076</v>
      </c>
      <c r="L3" s="5" t="n">
        <v>15.6617260180085</v>
      </c>
      <c r="M3" s="5" t="n">
        <v>1.3346</v>
      </c>
      <c r="N3" s="5" t="n">
        <v>0</v>
      </c>
      <c r="O3" s="5" t="n">
        <v>0.1517</v>
      </c>
      <c r="P3" s="5" t="n">
        <v>99.3461170363539</v>
      </c>
    </row>
    <row r="4" customFormat="false" ht="15" hidden="false" customHeight="false" outlineLevel="0" collapsed="false">
      <c r="A4" s="2" t="s">
        <v>188</v>
      </c>
      <c r="B4" s="2" t="s">
        <v>411</v>
      </c>
      <c r="C4" s="2" t="s">
        <v>414</v>
      </c>
      <c r="D4" s="2" t="n">
        <v>2</v>
      </c>
      <c r="E4" s="2" t="s">
        <v>415</v>
      </c>
      <c r="F4" s="5" t="n">
        <v>50.5708572104206</v>
      </c>
      <c r="G4" s="5" t="n">
        <v>0.8607</v>
      </c>
      <c r="H4" s="5" t="n">
        <v>8.21</v>
      </c>
      <c r="I4" s="5" t="n">
        <v>6.13</v>
      </c>
      <c r="J4" s="5" t="n">
        <v>0.1316</v>
      </c>
      <c r="K4" s="5" t="n">
        <v>16.143700195895</v>
      </c>
      <c r="L4" s="5" t="n">
        <v>15.709797614135</v>
      </c>
      <c r="M4" s="5" t="n">
        <v>1.35</v>
      </c>
      <c r="N4" s="5" t="n">
        <v>0</v>
      </c>
      <c r="O4" s="5" t="n">
        <v>0.1604</v>
      </c>
      <c r="P4" s="5" t="n">
        <v>99.2670550204506</v>
      </c>
    </row>
    <row r="5" customFormat="false" ht="15" hidden="false" customHeight="false" outlineLevel="0" collapsed="false">
      <c r="A5" s="2" t="s">
        <v>188</v>
      </c>
      <c r="B5" s="2" t="s">
        <v>411</v>
      </c>
      <c r="C5" s="2" t="s">
        <v>416</v>
      </c>
      <c r="D5" s="2" t="n">
        <v>3</v>
      </c>
      <c r="E5" s="2" t="s">
        <v>417</v>
      </c>
      <c r="F5" s="5" t="n">
        <v>50.5102328061724</v>
      </c>
      <c r="G5" s="5" t="n">
        <v>0.8848</v>
      </c>
      <c r="H5" s="5" t="n">
        <v>8.18</v>
      </c>
      <c r="I5" s="5" t="n">
        <v>5.98</v>
      </c>
      <c r="J5" s="5" t="n">
        <v>0.1464</v>
      </c>
      <c r="K5" s="5" t="n">
        <v>15.9900421333522</v>
      </c>
      <c r="L5" s="5" t="n">
        <v>15.8251694448386</v>
      </c>
      <c r="M5" s="5" t="n">
        <v>1.3233</v>
      </c>
      <c r="N5" s="5" t="n">
        <v>0.0052</v>
      </c>
      <c r="O5" s="5" t="n">
        <v>0.1455</v>
      </c>
      <c r="P5" s="5" t="n">
        <v>98.9906443843632</v>
      </c>
    </row>
    <row r="6" customFormat="false" ht="15" hidden="false" customHeight="false" outlineLevel="0" collapsed="false">
      <c r="A6" s="2" t="s">
        <v>188</v>
      </c>
      <c r="B6" s="2" t="s">
        <v>411</v>
      </c>
      <c r="C6" s="2" t="s">
        <v>418</v>
      </c>
      <c r="D6" s="2" t="n">
        <v>4</v>
      </c>
      <c r="E6" s="2" t="s">
        <v>419</v>
      </c>
      <c r="F6" s="5" t="n">
        <v>50.4091921324253</v>
      </c>
      <c r="G6" s="5" t="n">
        <v>0.8805</v>
      </c>
      <c r="H6" s="5" t="n">
        <v>8.19</v>
      </c>
      <c r="I6" s="5" t="n">
        <v>5.93</v>
      </c>
      <c r="J6" s="5" t="n">
        <v>0.1233</v>
      </c>
      <c r="K6" s="5" t="n">
        <v>16.1533038248039</v>
      </c>
      <c r="L6" s="5" t="n">
        <v>15.6905689756844</v>
      </c>
      <c r="M6" s="5" t="n">
        <v>1.3123</v>
      </c>
      <c r="N6" s="5" t="n">
        <v>0</v>
      </c>
      <c r="O6" s="5" t="n">
        <v>0.1432</v>
      </c>
      <c r="P6" s="5" t="n">
        <v>98.8323649329136</v>
      </c>
    </row>
    <row r="7" customFormat="false" ht="15" hidden="false" customHeight="false" outlineLevel="0" collapsed="false">
      <c r="A7" s="2" t="s">
        <v>188</v>
      </c>
      <c r="B7" s="2" t="s">
        <v>411</v>
      </c>
      <c r="C7" s="2" t="s">
        <v>420</v>
      </c>
      <c r="D7" s="2" t="n">
        <v>5</v>
      </c>
      <c r="E7" s="2" t="s">
        <v>421</v>
      </c>
      <c r="F7" s="5" t="n">
        <v>50.5203368735471</v>
      </c>
      <c r="G7" s="5" t="n">
        <v>0.8702</v>
      </c>
      <c r="H7" s="5" t="n">
        <v>8.22</v>
      </c>
      <c r="I7" s="5" t="n">
        <v>6.02</v>
      </c>
      <c r="J7" s="5" t="n">
        <v>0.1318</v>
      </c>
      <c r="K7" s="5" t="n">
        <v>16.018853020079</v>
      </c>
      <c r="L7" s="5" t="n">
        <v>15.8155551256133</v>
      </c>
      <c r="M7" s="5" t="n">
        <v>1.3151</v>
      </c>
      <c r="N7" s="5" t="n">
        <v>0.0077</v>
      </c>
      <c r="O7" s="5" t="n">
        <v>0.1606</v>
      </c>
      <c r="P7" s="5" t="n">
        <v>99.0801450192393</v>
      </c>
    </row>
    <row r="8" customFormat="false" ht="15" hidden="false" customHeight="false" outlineLevel="0" collapsed="false">
      <c r="A8" s="2" t="s">
        <v>188</v>
      </c>
      <c r="B8" s="2" t="s">
        <v>411</v>
      </c>
      <c r="C8" s="2" t="s">
        <v>422</v>
      </c>
      <c r="D8" s="2" t="n">
        <v>180</v>
      </c>
      <c r="E8" s="2" t="s">
        <v>423</v>
      </c>
      <c r="F8" s="5" t="n">
        <v>50.2778392565541</v>
      </c>
      <c r="G8" s="5" t="n">
        <v>0.8738</v>
      </c>
      <c r="H8" s="5" t="n">
        <v>8.23</v>
      </c>
      <c r="I8" s="5" t="n">
        <v>6.2</v>
      </c>
      <c r="J8" s="5" t="n">
        <v>0.1378</v>
      </c>
      <c r="K8" s="5" t="n">
        <v>16.2109255982574</v>
      </c>
      <c r="L8" s="5" t="n">
        <v>16.2097422138504</v>
      </c>
      <c r="M8" s="5" t="n">
        <v>1.3446</v>
      </c>
      <c r="N8" s="5" t="n">
        <v>0</v>
      </c>
      <c r="O8" s="5" t="n">
        <v>0.1096</v>
      </c>
      <c r="P8" s="5" t="n">
        <v>99.5943070686619</v>
      </c>
    </row>
    <row r="9" customFormat="false" ht="15" hidden="false" customHeight="false" outlineLevel="0" collapsed="false">
      <c r="A9" s="2" t="s">
        <v>188</v>
      </c>
      <c r="B9" s="2" t="s">
        <v>411</v>
      </c>
      <c r="C9" s="2" t="s">
        <v>424</v>
      </c>
      <c r="D9" s="2" t="n">
        <v>181</v>
      </c>
      <c r="E9" s="2" t="s">
        <v>425</v>
      </c>
      <c r="F9" s="5" t="n">
        <v>50.4496084019241</v>
      </c>
      <c r="G9" s="5" t="n">
        <v>0.8723</v>
      </c>
      <c r="H9" s="5" t="n">
        <v>8.28</v>
      </c>
      <c r="I9" s="5" t="n">
        <v>6.2</v>
      </c>
      <c r="J9" s="5" t="n">
        <v>0.1408</v>
      </c>
      <c r="K9" s="5" t="n">
        <v>16.0668711646236</v>
      </c>
      <c r="L9" s="5" t="n">
        <v>16.1232133408227</v>
      </c>
      <c r="M9" s="5" t="n">
        <v>1.35</v>
      </c>
      <c r="N9" s="5" t="n">
        <v>0.0011</v>
      </c>
      <c r="O9" s="5" t="n">
        <v>0.1099</v>
      </c>
      <c r="P9" s="5" t="n">
        <v>99.5937929073705</v>
      </c>
    </row>
    <row r="10" customFormat="false" ht="15" hidden="false" customHeight="false" outlineLevel="0" collapsed="false">
      <c r="A10" s="2" t="s">
        <v>188</v>
      </c>
      <c r="B10" s="2" t="s">
        <v>411</v>
      </c>
      <c r="C10" s="2" t="s">
        <v>426</v>
      </c>
      <c r="D10" s="2" t="n">
        <v>182</v>
      </c>
      <c r="E10" s="2" t="s">
        <v>427</v>
      </c>
      <c r="F10" s="5" t="n">
        <v>50.4395043345494</v>
      </c>
      <c r="G10" s="5" t="n">
        <v>0.8962</v>
      </c>
      <c r="H10" s="5" t="n">
        <v>8.26</v>
      </c>
      <c r="I10" s="5" t="n">
        <v>6.22</v>
      </c>
      <c r="J10" s="5" t="n">
        <v>0.1303</v>
      </c>
      <c r="K10" s="5" t="n">
        <v>16.0668711646236</v>
      </c>
      <c r="L10" s="5" t="n">
        <v>16.1039847023722</v>
      </c>
      <c r="M10" s="5" t="n">
        <v>1.36</v>
      </c>
      <c r="N10" s="5" t="n">
        <v>0</v>
      </c>
      <c r="O10" s="5" t="n">
        <v>0.0948</v>
      </c>
      <c r="P10" s="5" t="n">
        <v>99.5716602015452</v>
      </c>
    </row>
    <row r="11" customFormat="false" ht="15" hidden="false" customHeight="false" outlineLevel="0" collapsed="false">
      <c r="A11" s="2" t="s">
        <v>188</v>
      </c>
      <c r="B11" s="2" t="s">
        <v>411</v>
      </c>
      <c r="C11" s="2" t="s">
        <v>412</v>
      </c>
      <c r="D11" s="2" t="n">
        <v>236</v>
      </c>
      <c r="E11" s="2" t="s">
        <v>428</v>
      </c>
      <c r="F11" s="5" t="n">
        <v>50.5102328061724</v>
      </c>
      <c r="G11" s="5" t="n">
        <v>0.8617</v>
      </c>
      <c r="H11" s="5" t="n">
        <v>8.28</v>
      </c>
      <c r="I11" s="5" t="n">
        <v>6.15</v>
      </c>
      <c r="J11" s="5" t="n">
        <v>0.1432</v>
      </c>
      <c r="K11" s="5" t="n">
        <v>16.0476639068058</v>
      </c>
      <c r="L11" s="5" t="n">
        <v>16.1039847023722</v>
      </c>
      <c r="M11" s="5" t="n">
        <v>1.3243</v>
      </c>
      <c r="N11" s="5" t="n">
        <v>0.002</v>
      </c>
      <c r="O11" s="5" t="n">
        <v>0.1107</v>
      </c>
      <c r="P11" s="5" t="n">
        <v>99.5337814153503</v>
      </c>
    </row>
    <row r="12" customFormat="false" ht="15" hidden="false" customHeight="false" outlineLevel="0" collapsed="false">
      <c r="A12" s="2" t="s">
        <v>188</v>
      </c>
      <c r="B12" s="2" t="s">
        <v>411</v>
      </c>
      <c r="C12" s="2" t="s">
        <v>414</v>
      </c>
      <c r="D12" s="2" t="n">
        <v>237</v>
      </c>
      <c r="E12" s="2" t="s">
        <v>429</v>
      </c>
      <c r="F12" s="5" t="n">
        <v>50.5607531430459</v>
      </c>
      <c r="G12" s="5" t="n">
        <v>0.8679</v>
      </c>
      <c r="H12" s="5" t="n">
        <v>8.24</v>
      </c>
      <c r="I12" s="5" t="n">
        <v>6.24</v>
      </c>
      <c r="J12" s="5" t="n">
        <v>0.1208</v>
      </c>
      <c r="K12" s="5" t="n">
        <v>16.0092493911701</v>
      </c>
      <c r="L12" s="5" t="n">
        <v>16.1424419792733</v>
      </c>
      <c r="M12" s="5" t="n">
        <v>1.3073</v>
      </c>
      <c r="N12" s="5" t="n">
        <v>0.0005</v>
      </c>
      <c r="O12" s="5" t="n">
        <v>0.1027</v>
      </c>
      <c r="P12" s="5" t="n">
        <v>99.5916445134894</v>
      </c>
    </row>
    <row r="13" customFormat="false" ht="15" hidden="false" customHeight="false" outlineLevel="0" collapsed="false">
      <c r="A13" s="2" t="s">
        <v>188</v>
      </c>
      <c r="B13" s="2" t="s">
        <v>411</v>
      </c>
      <c r="C13" s="2" t="s">
        <v>416</v>
      </c>
      <c r="D13" s="2" t="n">
        <v>238</v>
      </c>
      <c r="E13" s="2" t="s">
        <v>430</v>
      </c>
      <c r="F13" s="5" t="n">
        <v>50.5304409409218</v>
      </c>
      <c r="G13" s="5" t="n">
        <v>0.8934</v>
      </c>
      <c r="H13" s="5" t="n">
        <v>8.27</v>
      </c>
      <c r="I13" s="5" t="n">
        <v>6.24</v>
      </c>
      <c r="J13" s="5" t="n">
        <v>0.1543</v>
      </c>
      <c r="K13" s="5" t="n">
        <v>16.0284566489879</v>
      </c>
      <c r="L13" s="5" t="n">
        <v>16.1616706177239</v>
      </c>
      <c r="M13" s="5" t="n">
        <v>1.3264</v>
      </c>
      <c r="N13" s="5" t="n">
        <v>0.0042</v>
      </c>
      <c r="O13" s="5" t="n">
        <v>0.1104</v>
      </c>
      <c r="P13" s="5" t="n">
        <v>99.7192682076337</v>
      </c>
    </row>
    <row r="14" customFormat="false" ht="15" hidden="false" customHeight="false" outlineLevel="0" collapsed="false">
      <c r="A14" s="2" t="s">
        <v>188</v>
      </c>
      <c r="B14" s="2" t="s">
        <v>431</v>
      </c>
      <c r="C14" s="2" t="s">
        <v>432</v>
      </c>
      <c r="D14" s="2" t="n">
        <v>6</v>
      </c>
      <c r="E14" s="2" t="s">
        <v>433</v>
      </c>
      <c r="F14" s="5" t="n">
        <v>50.8840832990366</v>
      </c>
      <c r="G14" s="5" t="n">
        <v>0.5209</v>
      </c>
      <c r="H14" s="5" t="n">
        <v>7.52</v>
      </c>
      <c r="I14" s="5" t="n">
        <v>4.45</v>
      </c>
      <c r="J14" s="5" t="n">
        <v>0.1301</v>
      </c>
      <c r="K14" s="5" t="n">
        <v>16.9696122820621</v>
      </c>
      <c r="L14" s="5" t="n">
        <v>16.940430474973</v>
      </c>
      <c r="M14" s="5" t="n">
        <v>0.8679</v>
      </c>
      <c r="N14" s="5" t="n">
        <v>0.0014</v>
      </c>
      <c r="O14" s="5" t="n">
        <v>0.8893</v>
      </c>
      <c r="P14" s="5" t="n">
        <v>99.1737260560717</v>
      </c>
    </row>
    <row r="15" customFormat="false" ht="15" hidden="false" customHeight="false" outlineLevel="0" collapsed="false">
      <c r="A15" s="2" t="s">
        <v>188</v>
      </c>
      <c r="B15" s="2" t="s">
        <v>431</v>
      </c>
      <c r="C15" s="2" t="s">
        <v>434</v>
      </c>
      <c r="D15" s="2" t="n">
        <v>7</v>
      </c>
      <c r="E15" s="2" t="s">
        <v>435</v>
      </c>
      <c r="F15" s="5" t="n">
        <v>50.8537710969125</v>
      </c>
      <c r="G15" s="5" t="n">
        <v>0.5286</v>
      </c>
      <c r="H15" s="5" t="n">
        <v>7.57</v>
      </c>
      <c r="I15" s="5" t="n">
        <v>4.44</v>
      </c>
      <c r="J15" s="5" t="n">
        <v>0.1304</v>
      </c>
      <c r="K15" s="5" t="n">
        <v>16.8543687351551</v>
      </c>
      <c r="L15" s="5" t="n">
        <v>16.9308161557477</v>
      </c>
      <c r="M15" s="5" t="n">
        <v>0.8416</v>
      </c>
      <c r="N15" s="5" t="n">
        <v>0.002</v>
      </c>
      <c r="O15" s="5" t="n">
        <v>0.8769</v>
      </c>
      <c r="P15" s="5" t="n">
        <v>99.0284559878153</v>
      </c>
    </row>
    <row r="16" customFormat="false" ht="15" hidden="false" customHeight="false" outlineLevel="0" collapsed="false">
      <c r="A16" s="2" t="s">
        <v>188</v>
      </c>
      <c r="B16" s="2" t="s">
        <v>431</v>
      </c>
      <c r="C16" s="2" t="s">
        <v>436</v>
      </c>
      <c r="D16" s="2" t="n">
        <v>8</v>
      </c>
      <c r="E16" s="2" t="s">
        <v>437</v>
      </c>
      <c r="F16" s="5" t="n">
        <v>51.358974465648</v>
      </c>
      <c r="G16" s="5" t="n">
        <v>0.4988</v>
      </c>
      <c r="H16" s="5" t="n">
        <v>7.53</v>
      </c>
      <c r="I16" s="5" t="n">
        <v>4.46</v>
      </c>
      <c r="J16" s="5" t="n">
        <v>0.1233</v>
      </c>
      <c r="K16" s="5" t="n">
        <v>16.7967469617015</v>
      </c>
      <c r="L16" s="5" t="n">
        <v>16.9019731980718</v>
      </c>
      <c r="M16" s="5" t="n">
        <v>0.8287</v>
      </c>
      <c r="N16" s="5" t="n">
        <v>0.0048</v>
      </c>
      <c r="O16" s="5" t="n">
        <v>0.8704</v>
      </c>
      <c r="P16" s="5" t="n">
        <v>99.3736946254213</v>
      </c>
    </row>
    <row r="17" customFormat="false" ht="15" hidden="false" customHeight="false" outlineLevel="0" collapsed="false">
      <c r="A17" s="2" t="s">
        <v>188</v>
      </c>
      <c r="B17" s="2" t="s">
        <v>431</v>
      </c>
      <c r="C17" s="2" t="s">
        <v>438</v>
      </c>
      <c r="D17" s="2" t="n">
        <v>9</v>
      </c>
      <c r="E17" s="2" t="s">
        <v>439</v>
      </c>
      <c r="F17" s="5" t="n">
        <v>50.8133548274137</v>
      </c>
      <c r="G17" s="5" t="n">
        <v>0.52</v>
      </c>
      <c r="H17" s="5" t="n">
        <v>7.54</v>
      </c>
      <c r="I17" s="5" t="n">
        <v>4.59</v>
      </c>
      <c r="J17" s="5" t="n">
        <v>0.1277</v>
      </c>
      <c r="K17" s="5" t="n">
        <v>17.0368376844246</v>
      </c>
      <c r="L17" s="5" t="n">
        <v>16.8923588788465</v>
      </c>
      <c r="M17" s="5" t="n">
        <v>0.8443</v>
      </c>
      <c r="N17" s="5" t="n">
        <v>0</v>
      </c>
      <c r="O17" s="5" t="n">
        <v>0.8716</v>
      </c>
      <c r="P17" s="5" t="n">
        <v>99.2361513906847</v>
      </c>
    </row>
    <row r="18" customFormat="false" ht="15" hidden="false" customHeight="false" outlineLevel="0" collapsed="false">
      <c r="A18" s="2" t="s">
        <v>188</v>
      </c>
      <c r="B18" s="2" t="s">
        <v>431</v>
      </c>
      <c r="C18" s="2" t="s">
        <v>440</v>
      </c>
      <c r="D18" s="2" t="n">
        <v>10</v>
      </c>
      <c r="E18" s="2" t="s">
        <v>441</v>
      </c>
      <c r="F18" s="5" t="n">
        <v>50.8840832990366</v>
      </c>
      <c r="G18" s="5" t="n">
        <v>0.5063</v>
      </c>
      <c r="H18" s="5" t="n">
        <v>7.53</v>
      </c>
      <c r="I18" s="5" t="n">
        <v>4.51</v>
      </c>
      <c r="J18" s="5" t="n">
        <v>0.1222</v>
      </c>
      <c r="K18" s="5" t="n">
        <v>17.0656485711513</v>
      </c>
      <c r="L18" s="5" t="n">
        <v>16.9692734326489</v>
      </c>
      <c r="M18" s="5" t="n">
        <v>0.8473</v>
      </c>
      <c r="N18" s="5" t="n">
        <v>0.0011</v>
      </c>
      <c r="O18" s="5" t="n">
        <v>0.8888</v>
      </c>
      <c r="P18" s="5" t="n">
        <v>99.3247053028368</v>
      </c>
    </row>
    <row r="19" customFormat="false" ht="15" hidden="false" customHeight="false" outlineLevel="0" collapsed="false">
      <c r="A19" s="2" t="s">
        <v>188</v>
      </c>
      <c r="B19" s="2" t="s">
        <v>431</v>
      </c>
      <c r="C19" s="2" t="s">
        <v>442</v>
      </c>
      <c r="D19" s="2" t="n">
        <v>177</v>
      </c>
      <c r="E19" s="2" t="s">
        <v>443</v>
      </c>
      <c r="F19" s="5" t="n">
        <v>50.176798582807</v>
      </c>
      <c r="G19" s="5" t="n">
        <v>0.5184</v>
      </c>
      <c r="H19" s="5" t="n">
        <v>7.39</v>
      </c>
      <c r="I19" s="5" t="n">
        <v>4.45</v>
      </c>
      <c r="J19" s="5" t="n">
        <v>0.1169</v>
      </c>
      <c r="K19" s="5" t="n">
        <v>17.0944594578781</v>
      </c>
      <c r="L19" s="5" t="n">
        <v>17.0846452633524</v>
      </c>
      <c r="M19" s="5" t="n">
        <v>0.8736</v>
      </c>
      <c r="N19" s="5" t="n">
        <v>0</v>
      </c>
      <c r="O19" s="5" t="n">
        <v>0.9018</v>
      </c>
      <c r="P19" s="5" t="n">
        <v>98.6066033040375</v>
      </c>
    </row>
    <row r="20" customFormat="false" ht="15" hidden="false" customHeight="false" outlineLevel="0" collapsed="false">
      <c r="A20" s="2" t="s">
        <v>188</v>
      </c>
      <c r="B20" s="2" t="s">
        <v>431</v>
      </c>
      <c r="C20" s="2" t="s">
        <v>444</v>
      </c>
      <c r="D20" s="2" t="n">
        <v>178</v>
      </c>
      <c r="E20" s="2" t="s">
        <v>445</v>
      </c>
      <c r="F20" s="5" t="n">
        <v>50.4192961998</v>
      </c>
      <c r="G20" s="5" t="n">
        <v>0.5075</v>
      </c>
      <c r="H20" s="5" t="n">
        <v>7.44</v>
      </c>
      <c r="I20" s="5" t="n">
        <v>4.51</v>
      </c>
      <c r="J20" s="5" t="n">
        <v>0.113</v>
      </c>
      <c r="K20" s="5" t="n">
        <v>17.1520812313316</v>
      </c>
      <c r="L20" s="5" t="n">
        <v>17.2384743709572</v>
      </c>
      <c r="M20" s="5" t="n">
        <v>0.8453</v>
      </c>
      <c r="N20" s="5" t="n">
        <v>0</v>
      </c>
      <c r="O20" s="5" t="n">
        <v>0.9042</v>
      </c>
      <c r="P20" s="5" t="n">
        <v>99.1298518020888</v>
      </c>
    </row>
    <row r="21" customFormat="false" ht="15" hidden="false" customHeight="false" outlineLevel="0" collapsed="false">
      <c r="A21" s="2" t="s">
        <v>188</v>
      </c>
      <c r="B21" s="2" t="s">
        <v>431</v>
      </c>
      <c r="C21" s="2" t="s">
        <v>446</v>
      </c>
      <c r="D21" s="2" t="n">
        <v>179</v>
      </c>
      <c r="E21" s="2" t="s">
        <v>447</v>
      </c>
      <c r="F21" s="5" t="n">
        <v>50.3990880650506</v>
      </c>
      <c r="G21" s="5" t="n">
        <v>0.5148</v>
      </c>
      <c r="H21" s="5" t="n">
        <v>7.38</v>
      </c>
      <c r="I21" s="5" t="n">
        <v>4.46</v>
      </c>
      <c r="J21" s="5" t="n">
        <v>0.1049</v>
      </c>
      <c r="K21" s="5" t="n">
        <v>17.0656485711513</v>
      </c>
      <c r="L21" s="5" t="n">
        <v>17.200017094056</v>
      </c>
      <c r="M21" s="5" t="n">
        <v>0.8483</v>
      </c>
      <c r="N21" s="5" t="n">
        <v>0</v>
      </c>
      <c r="O21" s="5" t="n">
        <v>0.9223</v>
      </c>
      <c r="P21" s="5" t="n">
        <v>98.8950537302579</v>
      </c>
    </row>
    <row r="22" customFormat="false" ht="15" hidden="false" customHeight="false" outlineLevel="0" collapsed="false">
      <c r="A22" s="2" t="s">
        <v>188</v>
      </c>
      <c r="B22" s="2" t="s">
        <v>431</v>
      </c>
      <c r="C22" s="2" t="s">
        <v>448</v>
      </c>
      <c r="D22" s="2" t="n">
        <v>233</v>
      </c>
      <c r="E22" s="2" t="s">
        <v>449</v>
      </c>
      <c r="F22" s="5" t="n">
        <v>50.3788799303012</v>
      </c>
      <c r="G22" s="5" t="n">
        <v>0.4906</v>
      </c>
      <c r="H22" s="5" t="n">
        <v>7.38</v>
      </c>
      <c r="I22" s="5" t="n">
        <v>4.68</v>
      </c>
      <c r="J22" s="5" t="n">
        <v>0.1116</v>
      </c>
      <c r="K22" s="5" t="n">
        <v>17.1520812313316</v>
      </c>
      <c r="L22" s="5" t="n">
        <v>17.1519454979295</v>
      </c>
      <c r="M22" s="5" t="n">
        <v>0.8606</v>
      </c>
      <c r="N22" s="5" t="n">
        <v>0</v>
      </c>
      <c r="O22" s="5" t="n">
        <v>0.907</v>
      </c>
      <c r="P22" s="5" t="n">
        <v>99.1127066595623</v>
      </c>
    </row>
    <row r="23" customFormat="false" ht="15" hidden="false" customHeight="false" outlineLevel="0" collapsed="false">
      <c r="A23" s="2" t="s">
        <v>188</v>
      </c>
      <c r="B23" s="2" t="s">
        <v>431</v>
      </c>
      <c r="C23" s="2" t="s">
        <v>450</v>
      </c>
      <c r="D23" s="2" t="n">
        <v>234</v>
      </c>
      <c r="E23" s="2" t="s">
        <v>451</v>
      </c>
      <c r="F23" s="5" t="n">
        <v>50.6213775472942</v>
      </c>
      <c r="G23" s="5" t="n">
        <v>0.4995</v>
      </c>
      <c r="H23" s="5" t="n">
        <v>7.43</v>
      </c>
      <c r="I23" s="5" t="n">
        <v>4.69</v>
      </c>
      <c r="J23" s="5" t="n">
        <v>0.1033</v>
      </c>
      <c r="K23" s="5" t="n">
        <v>17.1328739735138</v>
      </c>
      <c r="L23" s="5" t="n">
        <v>17.0269593480006</v>
      </c>
      <c r="M23" s="5" t="n">
        <v>0.8587</v>
      </c>
      <c r="N23" s="5" t="n">
        <v>0</v>
      </c>
      <c r="O23" s="5" t="n">
        <v>0.8828</v>
      </c>
      <c r="P23" s="5" t="n">
        <v>99.2455108688086</v>
      </c>
    </row>
    <row r="24" customFormat="false" ht="15" hidden="false" customHeight="false" outlineLevel="0" collapsed="false">
      <c r="A24" s="2" t="s">
        <v>188</v>
      </c>
      <c r="B24" s="2" t="s">
        <v>431</v>
      </c>
      <c r="C24" s="2" t="s">
        <v>452</v>
      </c>
      <c r="D24" s="2" t="n">
        <v>235</v>
      </c>
      <c r="E24" s="2" t="s">
        <v>453</v>
      </c>
      <c r="F24" s="5" t="n">
        <v>50.2172148523058</v>
      </c>
      <c r="G24" s="5" t="n">
        <v>0.5093</v>
      </c>
      <c r="H24" s="5" t="n">
        <v>7.39</v>
      </c>
      <c r="I24" s="5" t="n">
        <v>4.63</v>
      </c>
      <c r="J24" s="5" t="n">
        <v>0.1265</v>
      </c>
      <c r="K24" s="5" t="n">
        <v>17.0752522000602</v>
      </c>
      <c r="L24" s="5" t="n">
        <v>17.1327168594789</v>
      </c>
      <c r="M24" s="5" t="n">
        <v>0.854</v>
      </c>
      <c r="N24" s="5" t="n">
        <v>0</v>
      </c>
      <c r="O24" s="5" t="n">
        <v>0.8946</v>
      </c>
      <c r="P24" s="5" t="n">
        <v>98.829583911845</v>
      </c>
    </row>
    <row r="25" customFormat="false" ht="15" hidden="false" customHeight="false" outlineLevel="0" collapsed="false">
      <c r="A25" s="2" t="s">
        <v>188</v>
      </c>
      <c r="B25" s="2" t="s">
        <v>454</v>
      </c>
      <c r="C25" s="2" t="s">
        <v>455</v>
      </c>
      <c r="D25" s="2" t="n">
        <v>11</v>
      </c>
      <c r="E25" s="2" t="s">
        <v>456</v>
      </c>
      <c r="F25" s="5" t="n">
        <v>56.1280942665108</v>
      </c>
      <c r="G25" s="5" t="n">
        <v>0</v>
      </c>
      <c r="H25" s="5" t="n">
        <v>0.1245</v>
      </c>
      <c r="I25" s="5" t="n">
        <v>0.2326</v>
      </c>
      <c r="J25" s="5" t="n">
        <v>0.0295</v>
      </c>
      <c r="K25" s="5" t="n">
        <v>17.949182430772</v>
      </c>
      <c r="L25" s="5" t="n">
        <v>25.2568166048547</v>
      </c>
      <c r="M25" s="5" t="n">
        <v>0.1129</v>
      </c>
      <c r="N25" s="5" t="n">
        <v>0</v>
      </c>
      <c r="O25" s="5" t="n">
        <v>0</v>
      </c>
      <c r="P25" s="5" t="n">
        <v>99.8335933021375</v>
      </c>
    </row>
    <row r="26" customFormat="false" ht="15" hidden="false" customHeight="false" outlineLevel="0" collapsed="false">
      <c r="A26" s="2" t="s">
        <v>188</v>
      </c>
      <c r="B26" s="2" t="s">
        <v>454</v>
      </c>
      <c r="C26" s="2" t="s">
        <v>457</v>
      </c>
      <c r="D26" s="2" t="n">
        <v>12</v>
      </c>
      <c r="E26" s="2" t="s">
        <v>458</v>
      </c>
      <c r="F26" s="5" t="n">
        <v>56.0371576601385</v>
      </c>
      <c r="G26" s="5" t="n">
        <v>0.0307</v>
      </c>
      <c r="H26" s="5" t="n">
        <v>0.1358</v>
      </c>
      <c r="I26" s="5" t="n">
        <v>0.1941</v>
      </c>
      <c r="J26" s="5" t="n">
        <v>0.0224</v>
      </c>
      <c r="K26" s="5" t="n">
        <v>18.0068042042255</v>
      </c>
      <c r="L26" s="5" t="n">
        <v>25.2760452433053</v>
      </c>
      <c r="M26" s="5" t="n">
        <v>0.1396</v>
      </c>
      <c r="N26" s="5" t="n">
        <v>0</v>
      </c>
      <c r="O26" s="5" t="n">
        <v>0.0005</v>
      </c>
      <c r="P26" s="5" t="n">
        <v>99.8431071076692</v>
      </c>
    </row>
    <row r="27" customFormat="false" ht="15" hidden="false" customHeight="false" outlineLevel="0" collapsed="false">
      <c r="A27" s="2" t="s">
        <v>188</v>
      </c>
      <c r="B27" s="2" t="s">
        <v>454</v>
      </c>
      <c r="C27" s="2" t="s">
        <v>459</v>
      </c>
      <c r="D27" s="2" t="n">
        <v>13</v>
      </c>
      <c r="E27" s="2" t="s">
        <v>460</v>
      </c>
      <c r="F27" s="5" t="n">
        <v>56.2695512097568</v>
      </c>
      <c r="G27" s="5" t="n">
        <v>0.0284</v>
      </c>
      <c r="H27" s="5" t="n">
        <v>0.3325</v>
      </c>
      <c r="I27" s="5" t="n">
        <v>0.2403</v>
      </c>
      <c r="J27" s="5" t="n">
        <v>0.0215</v>
      </c>
      <c r="K27" s="5" t="n">
        <v>17.9395788018631</v>
      </c>
      <c r="L27" s="5" t="n">
        <v>25.0260729434476</v>
      </c>
      <c r="M27" s="5" t="n">
        <v>0.2311</v>
      </c>
      <c r="N27" s="5" t="n">
        <v>0.0016</v>
      </c>
      <c r="O27" s="5" t="n">
        <v>0.0073</v>
      </c>
      <c r="P27" s="5" t="n">
        <v>100.097902955067</v>
      </c>
    </row>
    <row r="28" customFormat="false" ht="15" hidden="false" customHeight="false" outlineLevel="0" collapsed="false">
      <c r="A28" s="2" t="s">
        <v>188</v>
      </c>
      <c r="B28" s="2" t="s">
        <v>454</v>
      </c>
      <c r="C28" s="2" t="s">
        <v>455</v>
      </c>
      <c r="D28" s="2" t="n">
        <v>239</v>
      </c>
      <c r="E28" s="2" t="s">
        <v>461</v>
      </c>
      <c r="F28" s="5" t="n">
        <v>55.6329949651501</v>
      </c>
      <c r="G28" s="5" t="n">
        <v>0.0031</v>
      </c>
      <c r="H28" s="5" t="n">
        <v>0.0569</v>
      </c>
      <c r="I28" s="5" t="n">
        <v>0.1911</v>
      </c>
      <c r="J28" s="5" t="n">
        <v>0.0422</v>
      </c>
      <c r="K28" s="5" t="n">
        <v>18.2661021847663</v>
      </c>
      <c r="L28" s="5" t="n">
        <v>25.7471468853449</v>
      </c>
      <c r="M28" s="5" t="n">
        <v>0.0893</v>
      </c>
      <c r="N28" s="5" t="n">
        <v>0</v>
      </c>
      <c r="O28" s="5" t="n">
        <v>0.0008</v>
      </c>
      <c r="P28" s="5" t="n">
        <v>100.029644035261</v>
      </c>
    </row>
    <row r="29" customFormat="false" ht="15" hidden="false" customHeight="false" outlineLevel="0" collapsed="false">
      <c r="A29" s="2" t="s">
        <v>188</v>
      </c>
      <c r="B29" s="2" t="s">
        <v>454</v>
      </c>
      <c r="C29" s="2" t="s">
        <v>457</v>
      </c>
      <c r="D29" s="2" t="n">
        <v>240</v>
      </c>
      <c r="E29" s="2" t="s">
        <v>462</v>
      </c>
      <c r="F29" s="5" t="n">
        <v>55.6228908977754</v>
      </c>
      <c r="G29" s="5" t="n">
        <v>0.0218</v>
      </c>
      <c r="H29" s="5" t="n">
        <v>0.0461</v>
      </c>
      <c r="I29" s="5" t="n">
        <v>0.2027</v>
      </c>
      <c r="J29" s="5" t="n">
        <v>0.0108</v>
      </c>
      <c r="K29" s="5" t="n">
        <v>18.1700658956771</v>
      </c>
      <c r="L29" s="5" t="n">
        <v>25.6894609699931</v>
      </c>
      <c r="M29" s="5" t="n">
        <v>0.0738</v>
      </c>
      <c r="N29" s="5" t="n">
        <v>0</v>
      </c>
      <c r="O29" s="5" t="n">
        <v>0</v>
      </c>
      <c r="P29" s="5" t="n">
        <v>99.8376177634456</v>
      </c>
    </row>
    <row r="30" customFormat="false" ht="15" hidden="false" customHeight="false" outlineLevel="0" collapsed="false">
      <c r="A30" s="2" t="s">
        <v>188</v>
      </c>
      <c r="B30" s="2" t="s">
        <v>454</v>
      </c>
      <c r="C30" s="2" t="s">
        <v>459</v>
      </c>
      <c r="D30" s="2" t="n">
        <v>241</v>
      </c>
      <c r="E30" s="2" t="s">
        <v>463</v>
      </c>
      <c r="F30" s="5" t="n">
        <v>55.5824746282765</v>
      </c>
      <c r="G30" s="5" t="n">
        <v>0.0153</v>
      </c>
      <c r="H30" s="5" t="n">
        <v>0.0471</v>
      </c>
      <c r="I30" s="5" t="n">
        <v>0.1853</v>
      </c>
      <c r="J30" s="5" t="n">
        <v>0.037</v>
      </c>
      <c r="K30" s="5" t="n">
        <v>18.2180840402217</v>
      </c>
      <c r="L30" s="5" t="n">
        <v>25.6606180123172</v>
      </c>
      <c r="M30" s="5" t="n">
        <v>0.08</v>
      </c>
      <c r="N30" s="5" t="n">
        <v>0</v>
      </c>
      <c r="O30" s="5" t="n">
        <v>0</v>
      </c>
      <c r="P30" s="5" t="n">
        <v>99.8258766808154</v>
      </c>
    </row>
    <row r="31" customFormat="false" ht="15" hidden="false" customHeight="false" outlineLevel="0" collapsed="false">
      <c r="A31" s="2" t="s">
        <v>282</v>
      </c>
      <c r="B31" s="2" t="s">
        <v>411</v>
      </c>
      <c r="C31" s="2" t="s">
        <v>412</v>
      </c>
      <c r="D31" s="2" t="n">
        <v>4</v>
      </c>
      <c r="E31" s="2" t="s">
        <v>464</v>
      </c>
      <c r="F31" s="5" t="n">
        <v>50.5797442940217</v>
      </c>
      <c r="G31" s="5" t="n">
        <v>0.8837</v>
      </c>
      <c r="H31" s="5" t="n">
        <v>8.28</v>
      </c>
      <c r="I31" s="5" t="n">
        <v>6.15</v>
      </c>
      <c r="J31" s="5" t="n">
        <v>0.1367</v>
      </c>
      <c r="K31" s="5" t="n">
        <v>16.3013714635318</v>
      </c>
      <c r="L31" s="5" t="n">
        <v>15.8661519345813</v>
      </c>
      <c r="M31" s="5" t="n">
        <v>1.37</v>
      </c>
      <c r="N31" s="5" t="n">
        <v>0.004</v>
      </c>
      <c r="O31" s="5" t="n">
        <v>0.118</v>
      </c>
      <c r="P31" s="5" t="n">
        <v>99.6896676921348</v>
      </c>
    </row>
    <row r="32" customFormat="false" ht="15" hidden="false" customHeight="false" outlineLevel="0" collapsed="false">
      <c r="A32" s="2" t="s">
        <v>282</v>
      </c>
      <c r="B32" s="2" t="s">
        <v>411</v>
      </c>
      <c r="C32" s="2" t="s">
        <v>414</v>
      </c>
      <c r="D32" s="2" t="n">
        <v>5</v>
      </c>
      <c r="E32" s="2" t="s">
        <v>465</v>
      </c>
      <c r="F32" s="5" t="n">
        <v>50.9908802012491</v>
      </c>
      <c r="G32" s="5" t="n">
        <v>0.8954</v>
      </c>
      <c r="H32" s="5" t="n">
        <v>8.33</v>
      </c>
      <c r="I32" s="5" t="n">
        <v>6.16</v>
      </c>
      <c r="J32" s="5" t="n">
        <v>0.1595</v>
      </c>
      <c r="K32" s="5" t="n">
        <v>16.272279188463</v>
      </c>
      <c r="L32" s="5" t="n">
        <v>15.9054976306373</v>
      </c>
      <c r="M32" s="5" t="n">
        <v>1.3375</v>
      </c>
      <c r="N32" s="5" t="n">
        <v>0.0068</v>
      </c>
      <c r="O32" s="5" t="n">
        <v>0.1033</v>
      </c>
      <c r="P32" s="5" t="n">
        <v>100.161157020349</v>
      </c>
    </row>
    <row r="33" customFormat="false" ht="15" hidden="false" customHeight="false" outlineLevel="0" collapsed="false">
      <c r="A33" s="2" t="s">
        <v>282</v>
      </c>
      <c r="B33" s="2" t="s">
        <v>411</v>
      </c>
      <c r="C33" s="2" t="s">
        <v>412</v>
      </c>
      <c r="D33" s="2" t="n">
        <v>80</v>
      </c>
      <c r="E33" s="2" t="s">
        <v>466</v>
      </c>
      <c r="F33" s="5" t="n">
        <v>50.4393564232611</v>
      </c>
      <c r="G33" s="5" t="n">
        <v>0.9066</v>
      </c>
      <c r="H33" s="5" t="n">
        <v>8.25</v>
      </c>
      <c r="I33" s="5" t="n">
        <v>5.98</v>
      </c>
      <c r="J33" s="5" t="n">
        <v>0.1189</v>
      </c>
      <c r="K33" s="5" t="n">
        <v>16.1850023632567</v>
      </c>
      <c r="L33" s="5" t="n">
        <v>16.0825532628893</v>
      </c>
      <c r="M33" s="5" t="n">
        <v>1.37</v>
      </c>
      <c r="N33" s="5" t="n">
        <v>0</v>
      </c>
      <c r="O33" s="5" t="n">
        <v>0.1062</v>
      </c>
      <c r="P33" s="5" t="n">
        <v>99.4386120494071</v>
      </c>
    </row>
    <row r="34" customFormat="false" ht="15" hidden="false" customHeight="false" outlineLevel="0" collapsed="false">
      <c r="A34" s="2" t="s">
        <v>282</v>
      </c>
      <c r="B34" s="2" t="s">
        <v>411</v>
      </c>
      <c r="C34" s="2" t="s">
        <v>414</v>
      </c>
      <c r="D34" s="2" t="n">
        <v>81</v>
      </c>
      <c r="E34" s="2" t="s">
        <v>467</v>
      </c>
      <c r="F34" s="5" t="n">
        <v>50.5797442940217</v>
      </c>
      <c r="G34" s="5" t="n">
        <v>0.8883</v>
      </c>
      <c r="H34" s="5" t="n">
        <v>8.24</v>
      </c>
      <c r="I34" s="5" t="n">
        <v>6.1</v>
      </c>
      <c r="J34" s="5" t="n">
        <v>0.1545</v>
      </c>
      <c r="K34" s="5" t="n">
        <v>16.2819766134859</v>
      </c>
      <c r="L34" s="5" t="n">
        <v>16.1317353829593</v>
      </c>
      <c r="M34" s="5" t="n">
        <v>1.3365</v>
      </c>
      <c r="N34" s="5" t="n">
        <v>0.0062</v>
      </c>
      <c r="O34" s="5" t="n">
        <v>0.093</v>
      </c>
      <c r="P34" s="5" t="n">
        <v>99.8119562904669</v>
      </c>
    </row>
    <row r="35" customFormat="false" ht="15" hidden="false" customHeight="false" outlineLevel="0" collapsed="false">
      <c r="A35" s="2" t="s">
        <v>282</v>
      </c>
      <c r="B35" s="2" t="s">
        <v>411</v>
      </c>
      <c r="C35" s="2" t="s">
        <v>416</v>
      </c>
      <c r="D35" s="2" t="n">
        <v>82</v>
      </c>
      <c r="E35" s="2" t="s">
        <v>468</v>
      </c>
      <c r="F35" s="5" t="n">
        <v>50.5095503586414</v>
      </c>
      <c r="G35" s="5" t="n">
        <v>0.9065</v>
      </c>
      <c r="H35" s="5" t="n">
        <v>8.26</v>
      </c>
      <c r="I35" s="5" t="n">
        <v>6.03</v>
      </c>
      <c r="J35" s="5" t="n">
        <v>0.1539</v>
      </c>
      <c r="K35" s="5" t="n">
        <v>16.155910088188</v>
      </c>
      <c r="L35" s="5" t="n">
        <v>16.2202631990853</v>
      </c>
      <c r="M35" s="5" t="n">
        <v>1.35</v>
      </c>
      <c r="N35" s="5" t="n">
        <v>0.0015</v>
      </c>
      <c r="O35" s="5" t="n">
        <v>0.0989</v>
      </c>
      <c r="P35" s="5" t="n">
        <v>99.6865236459146</v>
      </c>
    </row>
    <row r="36" customFormat="false" ht="15" hidden="false" customHeight="false" outlineLevel="0" collapsed="false">
      <c r="A36" s="2" t="s">
        <v>282</v>
      </c>
      <c r="B36" s="2" t="s">
        <v>411</v>
      </c>
      <c r="C36" s="2" t="s">
        <v>412</v>
      </c>
      <c r="D36" s="2" t="n">
        <v>143</v>
      </c>
      <c r="E36" s="2" t="s">
        <v>469</v>
      </c>
      <c r="F36" s="5" t="n">
        <v>50.6298828192933</v>
      </c>
      <c r="G36" s="5" t="n">
        <v>0.9127</v>
      </c>
      <c r="H36" s="5" t="n">
        <v>8.26</v>
      </c>
      <c r="I36" s="5" t="n">
        <v>6.21</v>
      </c>
      <c r="J36" s="5" t="n">
        <v>0.167</v>
      </c>
      <c r="K36" s="5" t="n">
        <v>16.3401611636235</v>
      </c>
      <c r="L36" s="5" t="n">
        <v>16.1120625349313</v>
      </c>
      <c r="M36" s="5" t="n">
        <v>1.36</v>
      </c>
      <c r="N36" s="5" t="n">
        <v>0.0017</v>
      </c>
      <c r="O36" s="5" t="n">
        <v>0.1036</v>
      </c>
      <c r="P36" s="5" t="n">
        <v>100.097106517848</v>
      </c>
    </row>
    <row r="37" customFormat="false" ht="15" hidden="false" customHeight="false" outlineLevel="0" collapsed="false">
      <c r="A37" s="2" t="s">
        <v>282</v>
      </c>
      <c r="B37" s="2" t="s">
        <v>411</v>
      </c>
      <c r="C37" s="2" t="s">
        <v>414</v>
      </c>
      <c r="D37" s="2" t="n">
        <v>144</v>
      </c>
      <c r="E37" s="2" t="s">
        <v>470</v>
      </c>
      <c r="F37" s="5" t="n">
        <v>50.6399105243476</v>
      </c>
      <c r="G37" s="5" t="n">
        <v>0.9174</v>
      </c>
      <c r="H37" s="5" t="n">
        <v>8.24</v>
      </c>
      <c r="I37" s="5" t="n">
        <v>6.18</v>
      </c>
      <c r="J37" s="5" t="n">
        <v>0.1433</v>
      </c>
      <c r="K37" s="5" t="n">
        <v>16.2625817634401</v>
      </c>
      <c r="L37" s="5" t="n">
        <v>16.2005903510573</v>
      </c>
      <c r="M37" s="5" t="n">
        <v>1.35</v>
      </c>
      <c r="N37" s="5" t="n">
        <v>0</v>
      </c>
      <c r="O37" s="5" t="n">
        <v>0.1068</v>
      </c>
      <c r="P37" s="5" t="n">
        <v>100.040582638845</v>
      </c>
    </row>
    <row r="38" customFormat="false" ht="15" hidden="false" customHeight="false" outlineLevel="0" collapsed="false">
      <c r="A38" s="2" t="s">
        <v>282</v>
      </c>
      <c r="B38" s="2" t="s">
        <v>411</v>
      </c>
      <c r="C38" s="2" t="s">
        <v>416</v>
      </c>
      <c r="D38" s="2" t="n">
        <v>145</v>
      </c>
      <c r="E38" s="2" t="s">
        <v>471</v>
      </c>
      <c r="F38" s="5" t="n">
        <v>50.6699936395106</v>
      </c>
      <c r="G38" s="5" t="n">
        <v>0.9169</v>
      </c>
      <c r="H38" s="5" t="n">
        <v>8.34</v>
      </c>
      <c r="I38" s="5" t="n">
        <v>6.2</v>
      </c>
      <c r="J38" s="5" t="n">
        <v>0.1327</v>
      </c>
      <c r="K38" s="5" t="n">
        <v>16.272279188463</v>
      </c>
      <c r="L38" s="5" t="n">
        <v>16.1612446550013</v>
      </c>
      <c r="M38" s="5" t="n">
        <v>1.343</v>
      </c>
      <c r="N38" s="5" t="n">
        <v>0</v>
      </c>
      <c r="O38" s="5" t="n">
        <v>0.1037</v>
      </c>
      <c r="P38" s="5" t="n">
        <v>100.139817482975</v>
      </c>
    </row>
    <row r="39" customFormat="false" ht="15" hidden="false" customHeight="false" outlineLevel="0" collapsed="false">
      <c r="A39" s="2" t="s">
        <v>282</v>
      </c>
      <c r="B39" s="2" t="s">
        <v>431</v>
      </c>
      <c r="C39" s="2" t="s">
        <v>448</v>
      </c>
      <c r="D39" s="2" t="n">
        <v>1</v>
      </c>
      <c r="E39" s="2" t="s">
        <v>472</v>
      </c>
      <c r="F39" s="5" t="n">
        <v>50.9407416759774</v>
      </c>
      <c r="G39" s="5" t="n">
        <v>0.4818</v>
      </c>
      <c r="H39" s="5" t="n">
        <v>7.54</v>
      </c>
      <c r="I39" s="5" t="n">
        <v>4.71</v>
      </c>
      <c r="J39" s="5" t="n">
        <v>0.1301</v>
      </c>
      <c r="K39" s="5" t="n">
        <v>17.1159551654572</v>
      </c>
      <c r="L39" s="5" t="n">
        <v>16.7120843997853</v>
      </c>
      <c r="M39" s="5" t="n">
        <v>0.8333</v>
      </c>
      <c r="N39" s="5" t="n">
        <v>0.0016</v>
      </c>
      <c r="O39" s="5" t="n">
        <v>0.8786</v>
      </c>
      <c r="P39" s="5" t="n">
        <v>99.3441812412199</v>
      </c>
    </row>
    <row r="40" customFormat="false" ht="15" hidden="false" customHeight="false" outlineLevel="0" collapsed="false">
      <c r="A40" s="2" t="s">
        <v>282</v>
      </c>
      <c r="B40" s="2" t="s">
        <v>431</v>
      </c>
      <c r="C40" s="2" t="s">
        <v>450</v>
      </c>
      <c r="D40" s="2" t="n">
        <v>2</v>
      </c>
      <c r="E40" s="2" t="s">
        <v>473</v>
      </c>
      <c r="F40" s="5" t="n">
        <v>50.3992456030438</v>
      </c>
      <c r="G40" s="5" t="n">
        <v>0.5242</v>
      </c>
      <c r="H40" s="5" t="n">
        <v>7.51</v>
      </c>
      <c r="I40" s="5" t="n">
        <v>4.66</v>
      </c>
      <c r="J40" s="5" t="n">
        <v>0.1091</v>
      </c>
      <c r="K40" s="5" t="n">
        <v>17.4165753411678</v>
      </c>
      <c r="L40" s="5" t="n">
        <v>16.8891400320373</v>
      </c>
      <c r="M40" s="5" t="n">
        <v>0.8402</v>
      </c>
      <c r="N40" s="5" t="n">
        <v>0</v>
      </c>
      <c r="O40" s="5" t="n">
        <v>0.8872</v>
      </c>
      <c r="P40" s="5" t="n">
        <v>99.2356609762489</v>
      </c>
    </row>
    <row r="41" customFormat="false" ht="15" hidden="false" customHeight="false" outlineLevel="0" collapsed="false">
      <c r="A41" s="2" t="s">
        <v>282</v>
      </c>
      <c r="B41" s="2" t="s">
        <v>431</v>
      </c>
      <c r="C41" s="2" t="s">
        <v>452</v>
      </c>
      <c r="D41" s="2" t="n">
        <v>3</v>
      </c>
      <c r="E41" s="2" t="s">
        <v>474</v>
      </c>
      <c r="F41" s="5" t="n">
        <v>50.2388023221746</v>
      </c>
      <c r="G41" s="5" t="n">
        <v>0.5056</v>
      </c>
      <c r="H41" s="5" t="n">
        <v>7.52</v>
      </c>
      <c r="I41" s="5" t="n">
        <v>4.48</v>
      </c>
      <c r="J41" s="5" t="n">
        <v>0.1146</v>
      </c>
      <c r="K41" s="5" t="n">
        <v>17.3680882160532</v>
      </c>
      <c r="L41" s="5" t="n">
        <v>17.0366863922473</v>
      </c>
      <c r="M41" s="5" t="n">
        <v>0.8518</v>
      </c>
      <c r="N41" s="5" t="n">
        <v>0</v>
      </c>
      <c r="O41" s="5" t="n">
        <v>0.8836</v>
      </c>
      <c r="P41" s="5" t="n">
        <v>98.999176930475</v>
      </c>
    </row>
    <row r="42" customFormat="false" ht="15" hidden="false" customHeight="false" outlineLevel="0" collapsed="false">
      <c r="A42" s="2" t="s">
        <v>282</v>
      </c>
      <c r="B42" s="2" t="s">
        <v>431</v>
      </c>
      <c r="C42" s="2" t="s">
        <v>448</v>
      </c>
      <c r="D42" s="2" t="n">
        <v>77</v>
      </c>
      <c r="E42" s="2" t="s">
        <v>475</v>
      </c>
      <c r="F42" s="5" t="n">
        <v>50.3892178979895</v>
      </c>
      <c r="G42" s="5" t="n">
        <v>0.5092</v>
      </c>
      <c r="H42" s="5" t="n">
        <v>7.44</v>
      </c>
      <c r="I42" s="5" t="n">
        <v>4.69</v>
      </c>
      <c r="J42" s="5" t="n">
        <v>0.1314</v>
      </c>
      <c r="K42" s="5" t="n">
        <v>17.4456676162366</v>
      </c>
      <c r="L42" s="5" t="n">
        <v>16.9284857280933</v>
      </c>
      <c r="M42" s="5" t="n">
        <v>0.8739</v>
      </c>
      <c r="N42" s="5" t="n">
        <v>0</v>
      </c>
      <c r="O42" s="5" t="n">
        <v>0.9098</v>
      </c>
      <c r="P42" s="5" t="n">
        <v>99.3176712423193</v>
      </c>
    </row>
    <row r="43" customFormat="false" ht="15" hidden="false" customHeight="false" outlineLevel="0" collapsed="false">
      <c r="A43" s="2" t="s">
        <v>282</v>
      </c>
      <c r="B43" s="2" t="s">
        <v>431</v>
      </c>
      <c r="C43" s="2" t="s">
        <v>450</v>
      </c>
      <c r="D43" s="2" t="n">
        <v>78</v>
      </c>
      <c r="E43" s="2" t="s">
        <v>476</v>
      </c>
      <c r="F43" s="5" t="n">
        <v>50.4995226535871</v>
      </c>
      <c r="G43" s="5" t="n">
        <v>0.5041</v>
      </c>
      <c r="H43" s="5" t="n">
        <v>7.44</v>
      </c>
      <c r="I43" s="5" t="n">
        <v>4.54</v>
      </c>
      <c r="J43" s="5" t="n">
        <v>0.1226</v>
      </c>
      <c r="K43" s="5" t="n">
        <v>17.3196010909386</v>
      </c>
      <c r="L43" s="5" t="n">
        <v>17.0760320883032</v>
      </c>
      <c r="M43" s="5" t="n">
        <v>0.8591</v>
      </c>
      <c r="N43" s="5" t="n">
        <v>0.0061</v>
      </c>
      <c r="O43" s="5" t="n">
        <v>0.9083</v>
      </c>
      <c r="P43" s="5" t="n">
        <v>99.2753558328289</v>
      </c>
    </row>
    <row r="44" customFormat="false" ht="15" hidden="false" customHeight="false" outlineLevel="0" collapsed="false">
      <c r="A44" s="2" t="s">
        <v>282</v>
      </c>
      <c r="B44" s="2" t="s">
        <v>431</v>
      </c>
      <c r="C44" s="2" t="s">
        <v>452</v>
      </c>
      <c r="D44" s="2" t="n">
        <v>79</v>
      </c>
      <c r="E44" s="2" t="s">
        <v>477</v>
      </c>
      <c r="F44" s="5" t="n">
        <v>50.7903261001625</v>
      </c>
      <c r="G44" s="5" t="n">
        <v>0.4943</v>
      </c>
      <c r="H44" s="5" t="n">
        <v>7.46</v>
      </c>
      <c r="I44" s="5" t="n">
        <v>4.59</v>
      </c>
      <c r="J44" s="5" t="n">
        <v>0.1331</v>
      </c>
      <c r="K44" s="5" t="n">
        <v>17.3099036659157</v>
      </c>
      <c r="L44" s="5" t="n">
        <v>16.3087910152113</v>
      </c>
      <c r="M44" s="5" t="n">
        <v>0.8345</v>
      </c>
      <c r="N44" s="5" t="n">
        <v>0.0022</v>
      </c>
      <c r="O44" s="5" t="n">
        <v>0.8961</v>
      </c>
      <c r="P44" s="5" t="n">
        <v>98.8192207812895</v>
      </c>
    </row>
    <row r="45" customFormat="false" ht="15" hidden="false" customHeight="false" outlineLevel="0" collapsed="false">
      <c r="A45" s="2" t="s">
        <v>282</v>
      </c>
      <c r="B45" s="2" t="s">
        <v>431</v>
      </c>
      <c r="C45" s="2" t="s">
        <v>448</v>
      </c>
      <c r="D45" s="2" t="n">
        <v>139</v>
      </c>
      <c r="E45" s="2" t="s">
        <v>478</v>
      </c>
      <c r="F45" s="5" t="n">
        <v>50.3992456030438</v>
      </c>
      <c r="G45" s="5" t="n">
        <v>0.5423</v>
      </c>
      <c r="H45" s="5" t="n">
        <v>7.42</v>
      </c>
      <c r="I45" s="5" t="n">
        <v>4.56</v>
      </c>
      <c r="J45" s="5" t="n">
        <v>0.1068</v>
      </c>
      <c r="K45" s="5" t="n">
        <v>17.4165753411678</v>
      </c>
      <c r="L45" s="5" t="n">
        <v>17.1350506323872</v>
      </c>
      <c r="M45" s="5" t="n">
        <v>0.8446</v>
      </c>
      <c r="N45" s="5" t="n">
        <v>0</v>
      </c>
      <c r="O45" s="5" t="n">
        <v>0.8958</v>
      </c>
      <c r="P45" s="5" t="n">
        <v>99.3203715765989</v>
      </c>
    </row>
    <row r="46" customFormat="false" ht="15" hidden="false" customHeight="false" outlineLevel="0" collapsed="false">
      <c r="A46" s="2" t="s">
        <v>282</v>
      </c>
      <c r="B46" s="2" t="s">
        <v>431</v>
      </c>
      <c r="C46" s="2" t="s">
        <v>450</v>
      </c>
      <c r="D46" s="2" t="n">
        <v>140</v>
      </c>
      <c r="E46" s="2" t="s">
        <v>479</v>
      </c>
      <c r="F46" s="5" t="n">
        <v>50.2989685525006</v>
      </c>
      <c r="G46" s="5" t="n">
        <v>0.5126</v>
      </c>
      <c r="H46" s="5" t="n">
        <v>7.45</v>
      </c>
      <c r="I46" s="5" t="n">
        <v>4.66</v>
      </c>
      <c r="J46" s="5" t="n">
        <v>0.1469</v>
      </c>
      <c r="K46" s="5" t="n">
        <v>17.1353500155031</v>
      </c>
      <c r="L46" s="5" t="n">
        <v>17.0366863922473</v>
      </c>
      <c r="M46" s="5" t="n">
        <v>0.8903</v>
      </c>
      <c r="N46" s="5" t="n">
        <v>0.0038</v>
      </c>
      <c r="O46" s="5" t="n">
        <v>0.9055</v>
      </c>
      <c r="P46" s="5" t="n">
        <v>99.0401049602509</v>
      </c>
    </row>
    <row r="47" customFormat="false" ht="15" hidden="false" customHeight="false" outlineLevel="0" collapsed="false">
      <c r="A47" s="2" t="s">
        <v>282</v>
      </c>
      <c r="B47" s="2" t="s">
        <v>431</v>
      </c>
      <c r="C47" s="2" t="s">
        <v>452</v>
      </c>
      <c r="D47" s="2" t="n">
        <v>141</v>
      </c>
      <c r="E47" s="2" t="s">
        <v>480</v>
      </c>
      <c r="F47" s="5" t="n">
        <v>50.3892178979895</v>
      </c>
      <c r="G47" s="5" t="n">
        <v>0.5416</v>
      </c>
      <c r="H47" s="5" t="n">
        <v>7.48</v>
      </c>
      <c r="I47" s="5" t="n">
        <v>4.62</v>
      </c>
      <c r="J47" s="5" t="n">
        <v>0.1082</v>
      </c>
      <c r="K47" s="5" t="n">
        <v>17.3486933660074</v>
      </c>
      <c r="L47" s="5" t="n">
        <v>17.0858685123172</v>
      </c>
      <c r="M47" s="5" t="n">
        <v>0.8807</v>
      </c>
      <c r="N47" s="5" t="n">
        <v>0.0002</v>
      </c>
      <c r="O47" s="5" t="n">
        <v>0.9032</v>
      </c>
      <c r="P47" s="5" t="n">
        <v>99.3576797763141</v>
      </c>
    </row>
    <row r="48" customFormat="false" ht="15" hidden="false" customHeight="false" outlineLevel="0" collapsed="false">
      <c r="A48" s="2" t="s">
        <v>282</v>
      </c>
      <c r="B48" s="2" t="s">
        <v>431</v>
      </c>
      <c r="C48" s="2" t="s">
        <v>481</v>
      </c>
      <c r="D48" s="2" t="n">
        <v>142</v>
      </c>
      <c r="E48" s="2" t="s">
        <v>482</v>
      </c>
      <c r="F48" s="5" t="n">
        <v>50.4293287182068</v>
      </c>
      <c r="G48" s="5" t="n">
        <v>0.8765</v>
      </c>
      <c r="H48" s="5" t="n">
        <v>8.24</v>
      </c>
      <c r="I48" s="5" t="n">
        <v>6.13</v>
      </c>
      <c r="J48" s="5" t="n">
        <v>0.136</v>
      </c>
      <c r="K48" s="5" t="n">
        <v>16.2916740385089</v>
      </c>
      <c r="L48" s="5" t="n">
        <v>16.1415718069733</v>
      </c>
      <c r="M48" s="5" t="n">
        <v>1.37</v>
      </c>
      <c r="N48" s="5" t="n">
        <v>0.0035</v>
      </c>
      <c r="O48" s="5" t="n">
        <v>0.1093</v>
      </c>
      <c r="P48" s="5" t="n">
        <v>99.7278745636889</v>
      </c>
    </row>
    <row r="49" customFormat="false" ht="15" hidden="false" customHeight="false" outlineLevel="0" collapsed="false">
      <c r="A49" s="2" t="s">
        <v>282</v>
      </c>
      <c r="B49" s="2" t="s">
        <v>454</v>
      </c>
      <c r="C49" s="2" t="s">
        <v>455</v>
      </c>
      <c r="D49" s="2" t="n">
        <v>6</v>
      </c>
      <c r="E49" s="2" t="s">
        <v>483</v>
      </c>
      <c r="F49" s="5" t="n">
        <v>56.305563880042</v>
      </c>
      <c r="G49" s="5" t="n">
        <v>0.0147</v>
      </c>
      <c r="H49" s="5" t="n">
        <v>0.0495</v>
      </c>
      <c r="I49" s="5" t="n">
        <v>0.1944</v>
      </c>
      <c r="J49" s="5" t="n">
        <v>0.0383</v>
      </c>
      <c r="K49" s="5" t="n">
        <v>18.3184358682995</v>
      </c>
      <c r="L49" s="5" t="n">
        <v>25.5550295883709</v>
      </c>
      <c r="M49" s="5" t="n">
        <v>0.0646</v>
      </c>
      <c r="N49" s="5" t="n">
        <v>0</v>
      </c>
      <c r="O49" s="5" t="n">
        <v>0.013</v>
      </c>
      <c r="P49" s="5" t="n">
        <v>100.553529336712</v>
      </c>
    </row>
    <row r="50" customFormat="false" ht="15" hidden="false" customHeight="false" outlineLevel="0" collapsed="false">
      <c r="A50" s="2" t="s">
        <v>282</v>
      </c>
      <c r="B50" s="2" t="s">
        <v>454</v>
      </c>
      <c r="C50" s="2" t="s">
        <v>457</v>
      </c>
      <c r="D50" s="2" t="n">
        <v>7</v>
      </c>
      <c r="E50" s="2" t="s">
        <v>484</v>
      </c>
      <c r="F50" s="5" t="n">
        <v>56.0648989587382</v>
      </c>
      <c r="G50" s="5" t="n">
        <v>0</v>
      </c>
      <c r="H50" s="5" t="n">
        <v>0.0537</v>
      </c>
      <c r="I50" s="5" t="n">
        <v>0.1582</v>
      </c>
      <c r="J50" s="5" t="n">
        <v>0.0407</v>
      </c>
      <c r="K50" s="5" t="n">
        <v>18.3281332933225</v>
      </c>
      <c r="L50" s="5" t="n">
        <v>25.4665017722449</v>
      </c>
      <c r="M50" s="5" t="n">
        <v>0.0827</v>
      </c>
      <c r="N50" s="5" t="n">
        <v>0</v>
      </c>
      <c r="O50" s="5" t="n">
        <v>0.0119</v>
      </c>
      <c r="P50" s="5" t="n">
        <v>100.206734024306</v>
      </c>
    </row>
    <row r="51" customFormat="false" ht="15" hidden="false" customHeight="false" outlineLevel="0" collapsed="false">
      <c r="A51" s="2" t="s">
        <v>282</v>
      </c>
      <c r="B51" s="2" t="s">
        <v>454</v>
      </c>
      <c r="C51" s="2" t="s">
        <v>459</v>
      </c>
      <c r="D51" s="2" t="n">
        <v>8</v>
      </c>
      <c r="E51" s="2" t="s">
        <v>485</v>
      </c>
      <c r="F51" s="5" t="n">
        <v>56.0448435486295</v>
      </c>
      <c r="G51" s="5" t="n">
        <v>0.0082</v>
      </c>
      <c r="H51" s="5" t="n">
        <v>0.0437</v>
      </c>
      <c r="I51" s="5" t="n">
        <v>0.2108</v>
      </c>
      <c r="J51" s="5" t="n">
        <v>0.0253</v>
      </c>
      <c r="K51" s="5" t="n">
        <v>18.2990410182537</v>
      </c>
      <c r="L51" s="5" t="n">
        <v>25.2599368679509</v>
      </c>
      <c r="M51" s="5" t="n">
        <v>0.0804</v>
      </c>
      <c r="N51" s="5" t="n">
        <v>0</v>
      </c>
      <c r="O51" s="5" t="n">
        <v>0</v>
      </c>
      <c r="P51" s="5" t="n">
        <v>99.9722214348341</v>
      </c>
    </row>
    <row r="52" customFormat="false" ht="15" hidden="false" customHeight="false" outlineLevel="0" collapsed="false">
      <c r="A52" s="2" t="s">
        <v>282</v>
      </c>
      <c r="B52" s="2" t="s">
        <v>454</v>
      </c>
      <c r="C52" s="2" t="s">
        <v>455</v>
      </c>
      <c r="D52" s="2" t="n">
        <v>84</v>
      </c>
      <c r="E52" s="2" t="s">
        <v>486</v>
      </c>
      <c r="F52" s="5" t="n">
        <v>55.9044556778689</v>
      </c>
      <c r="G52" s="5" t="n">
        <v>0.0243</v>
      </c>
      <c r="H52" s="5" t="n">
        <v>0.0434</v>
      </c>
      <c r="I52" s="5" t="n">
        <v>0.1742</v>
      </c>
      <c r="J52" s="5" t="n">
        <v>0.02</v>
      </c>
      <c r="K52" s="5" t="n">
        <v>18.3475281433683</v>
      </c>
      <c r="L52" s="5" t="n">
        <v>25.6042117084409</v>
      </c>
      <c r="M52" s="5" t="n">
        <v>0.0816</v>
      </c>
      <c r="N52" s="5" t="n">
        <v>0</v>
      </c>
      <c r="O52" s="5" t="n">
        <v>0.0059</v>
      </c>
      <c r="P52" s="5" t="n">
        <v>100.205595529678</v>
      </c>
    </row>
    <row r="53" customFormat="false" ht="15" hidden="false" customHeight="false" outlineLevel="0" collapsed="false">
      <c r="A53" s="2" t="s">
        <v>282</v>
      </c>
      <c r="B53" s="2" t="s">
        <v>454</v>
      </c>
      <c r="C53" s="2" t="s">
        <v>457</v>
      </c>
      <c r="D53" s="2" t="n">
        <v>85</v>
      </c>
      <c r="E53" s="2" t="s">
        <v>487</v>
      </c>
      <c r="F53" s="5" t="n">
        <v>55.8543171525973</v>
      </c>
      <c r="G53" s="5" t="n">
        <v>0.0075</v>
      </c>
      <c r="H53" s="5" t="n">
        <v>0.029</v>
      </c>
      <c r="I53" s="5" t="n">
        <v>0.1883</v>
      </c>
      <c r="J53" s="5" t="n">
        <v>0.0303</v>
      </c>
      <c r="K53" s="5" t="n">
        <v>18.3087384432766</v>
      </c>
      <c r="L53" s="5" t="n">
        <v>25.6435574044969</v>
      </c>
      <c r="M53" s="5" t="n">
        <v>0.069</v>
      </c>
      <c r="N53" s="5" t="n">
        <v>0</v>
      </c>
      <c r="O53" s="5" t="n">
        <v>0</v>
      </c>
      <c r="P53" s="5" t="n">
        <v>100.130713000371</v>
      </c>
    </row>
    <row r="54" customFormat="false" ht="15" hidden="false" customHeight="false" outlineLevel="0" collapsed="false">
      <c r="A54" s="2" t="s">
        <v>282</v>
      </c>
      <c r="B54" s="2" t="s">
        <v>454</v>
      </c>
      <c r="C54" s="2" t="s">
        <v>459</v>
      </c>
      <c r="D54" s="2" t="n">
        <v>86</v>
      </c>
      <c r="E54" s="2" t="s">
        <v>488</v>
      </c>
      <c r="F54" s="5" t="n">
        <v>56.0648989587382</v>
      </c>
      <c r="G54" s="5" t="n">
        <v>0.0065</v>
      </c>
      <c r="H54" s="5" t="n">
        <v>0.0328</v>
      </c>
      <c r="I54" s="5" t="n">
        <v>0.2008</v>
      </c>
      <c r="J54" s="5" t="n">
        <v>0.0439</v>
      </c>
      <c r="K54" s="5" t="n">
        <v>18.2214616180703</v>
      </c>
      <c r="L54" s="5" t="n">
        <v>25.5550295883709</v>
      </c>
      <c r="M54" s="5" t="n">
        <v>0.1004</v>
      </c>
      <c r="N54" s="5" t="n">
        <v>0</v>
      </c>
      <c r="O54" s="5" t="n">
        <v>0.0055</v>
      </c>
      <c r="P54" s="5" t="n">
        <v>100.231290165179</v>
      </c>
    </row>
    <row r="55" customFormat="false" ht="15" hidden="false" customHeight="false" outlineLevel="0" collapsed="false">
      <c r="A55" s="2" t="s">
        <v>282</v>
      </c>
      <c r="B55" s="2" t="s">
        <v>454</v>
      </c>
      <c r="C55" s="2" t="s">
        <v>455</v>
      </c>
      <c r="D55" s="2" t="n">
        <v>146</v>
      </c>
      <c r="E55" s="2" t="s">
        <v>489</v>
      </c>
      <c r="F55" s="5" t="n">
        <v>55.9044556778689</v>
      </c>
      <c r="G55" s="5" t="n">
        <v>0.0278</v>
      </c>
      <c r="H55" s="5" t="n">
        <v>0.043</v>
      </c>
      <c r="I55" s="5" t="n">
        <v>0.1618</v>
      </c>
      <c r="J55" s="5" t="n">
        <v>0.0312</v>
      </c>
      <c r="K55" s="5" t="n">
        <v>18.4154101185288</v>
      </c>
      <c r="L55" s="5" t="n">
        <v>25.6042117084409</v>
      </c>
      <c r="M55" s="5" t="n">
        <v>0.0547</v>
      </c>
      <c r="N55" s="5" t="n">
        <v>0</v>
      </c>
      <c r="O55" s="5" t="n">
        <v>0</v>
      </c>
      <c r="P55" s="5" t="n">
        <v>100.242577504839</v>
      </c>
    </row>
    <row r="56" customFormat="false" ht="15" hidden="false" customHeight="false" outlineLevel="0" collapsed="false">
      <c r="A56" s="2" t="s">
        <v>282</v>
      </c>
      <c r="B56" s="2" t="s">
        <v>454</v>
      </c>
      <c r="C56" s="2" t="s">
        <v>457</v>
      </c>
      <c r="D56" s="2" t="n">
        <v>147</v>
      </c>
      <c r="E56" s="2" t="s">
        <v>490</v>
      </c>
      <c r="F56" s="5" t="n">
        <v>55.6437353464565</v>
      </c>
      <c r="G56" s="5" t="n">
        <v>0</v>
      </c>
      <c r="H56" s="5" t="n">
        <v>0.0501</v>
      </c>
      <c r="I56" s="5" t="n">
        <v>0.2098</v>
      </c>
      <c r="J56" s="5" t="n">
        <v>0.052</v>
      </c>
      <c r="K56" s="5" t="n">
        <v>18.3766204184371</v>
      </c>
      <c r="L56" s="5" t="n">
        <v>25.6337209804829</v>
      </c>
      <c r="M56" s="5" t="n">
        <v>0.0719</v>
      </c>
      <c r="N56" s="5" t="n">
        <v>0</v>
      </c>
      <c r="O56" s="5" t="n">
        <v>0.0023</v>
      </c>
      <c r="P56" s="5" t="n">
        <v>100.040176745376</v>
      </c>
    </row>
    <row r="57" customFormat="false" ht="15" hidden="false" customHeight="false" outlineLevel="0" collapsed="false">
      <c r="A57" s="2" t="s">
        <v>282</v>
      </c>
      <c r="B57" s="2" t="s">
        <v>454</v>
      </c>
      <c r="C57" s="2" t="s">
        <v>459</v>
      </c>
      <c r="D57" s="2" t="n">
        <v>148</v>
      </c>
      <c r="E57" s="2" t="s">
        <v>491</v>
      </c>
      <c r="F57" s="5" t="n">
        <v>55.5234028858045</v>
      </c>
      <c r="G57" s="5" t="n">
        <v>0</v>
      </c>
      <c r="H57" s="5" t="n">
        <v>0.0593</v>
      </c>
      <c r="I57" s="5" t="n">
        <v>0.191</v>
      </c>
      <c r="J57" s="5" t="n">
        <v>0.0256</v>
      </c>
      <c r="K57" s="5" t="n">
        <v>18.4541998186205</v>
      </c>
      <c r="L57" s="5" t="n">
        <v>25.7615944926649</v>
      </c>
      <c r="M57" s="5" t="n">
        <v>0.0829</v>
      </c>
      <c r="N57" s="5" t="n">
        <v>0</v>
      </c>
      <c r="O57" s="5" t="n">
        <v>0.0027</v>
      </c>
      <c r="P57" s="5" t="n">
        <v>100.10069719709</v>
      </c>
    </row>
    <row r="58" customFormat="false" ht="15" hidden="false" customHeight="false" outlineLevel="0" collapsed="false">
      <c r="A58" s="2" t="s">
        <v>86</v>
      </c>
      <c r="B58" s="2" t="s">
        <v>411</v>
      </c>
      <c r="C58" s="2" t="s">
        <v>412</v>
      </c>
      <c r="D58" s="2" t="n">
        <v>4</v>
      </c>
      <c r="E58" s="2" t="s">
        <v>492</v>
      </c>
      <c r="F58" s="5" t="n">
        <v>50.7773414195258</v>
      </c>
      <c r="G58" s="5" t="n">
        <v>0.9119</v>
      </c>
      <c r="H58" s="5" t="n">
        <v>8.27</v>
      </c>
      <c r="I58" s="5" t="n">
        <v>6.22</v>
      </c>
      <c r="J58" s="5" t="n">
        <v>0.1277</v>
      </c>
      <c r="K58" s="5" t="n">
        <v>16.2796280858553</v>
      </c>
      <c r="L58" s="5" t="n">
        <v>15.9615736345246</v>
      </c>
      <c r="M58" s="5" t="n">
        <v>1.36</v>
      </c>
      <c r="N58" s="5" t="n">
        <v>0</v>
      </c>
      <c r="O58" s="5" t="n">
        <v>0.0908</v>
      </c>
      <c r="P58" s="5" t="n">
        <v>99.9989431399057</v>
      </c>
    </row>
    <row r="59" customFormat="false" ht="15" hidden="false" customHeight="false" outlineLevel="0" collapsed="false">
      <c r="A59" s="2" t="s">
        <v>86</v>
      </c>
      <c r="B59" s="2" t="s">
        <v>411</v>
      </c>
      <c r="C59" s="2" t="s">
        <v>414</v>
      </c>
      <c r="D59" s="2" t="n">
        <v>5</v>
      </c>
      <c r="E59" s="2" t="s">
        <v>493</v>
      </c>
      <c r="F59" s="5" t="n">
        <v>50.7874063038508</v>
      </c>
      <c r="G59" s="5" t="n">
        <v>0.9018</v>
      </c>
      <c r="H59" s="5" t="n">
        <v>8.29</v>
      </c>
      <c r="I59" s="5" t="n">
        <v>6.16</v>
      </c>
      <c r="J59" s="5" t="n">
        <v>0.1477</v>
      </c>
      <c r="K59" s="5" t="n">
        <v>16.2796280858553</v>
      </c>
      <c r="L59" s="5" t="n">
        <v>16.0381279445223</v>
      </c>
      <c r="M59" s="5" t="n">
        <v>1.36</v>
      </c>
      <c r="N59" s="5" t="n">
        <v>0.0022</v>
      </c>
      <c r="O59" s="5" t="n">
        <v>0.0938</v>
      </c>
      <c r="P59" s="5" t="n">
        <v>100.060662334228</v>
      </c>
    </row>
    <row r="60" customFormat="false" ht="15" hidden="false" customHeight="false" outlineLevel="0" collapsed="false">
      <c r="A60" s="2" t="s">
        <v>86</v>
      </c>
      <c r="B60" s="2" t="s">
        <v>411</v>
      </c>
      <c r="C60" s="2" t="s">
        <v>416</v>
      </c>
      <c r="D60" s="2" t="n">
        <v>6</v>
      </c>
      <c r="E60" s="2" t="s">
        <v>494</v>
      </c>
      <c r="F60" s="5" t="n">
        <v>50.8477956098006</v>
      </c>
      <c r="G60" s="5" t="n">
        <v>0.8779</v>
      </c>
      <c r="H60" s="5" t="n">
        <v>8.3</v>
      </c>
      <c r="I60" s="5" t="n">
        <v>6.17</v>
      </c>
      <c r="J60" s="5" t="n">
        <v>0.1251</v>
      </c>
      <c r="K60" s="5" t="n">
        <v>16.1614456678092</v>
      </c>
      <c r="L60" s="5" t="n">
        <v>16.0285586557726</v>
      </c>
      <c r="M60" s="5" t="n">
        <v>1.3456</v>
      </c>
      <c r="N60" s="5" t="n">
        <v>0</v>
      </c>
      <c r="O60" s="5" t="n">
        <v>0.095</v>
      </c>
      <c r="P60" s="5" t="n">
        <v>99.9513999333825</v>
      </c>
    </row>
    <row r="61" customFormat="false" ht="15" hidden="false" customHeight="false" outlineLevel="0" collapsed="false">
      <c r="A61" s="2" t="s">
        <v>86</v>
      </c>
      <c r="B61" s="2" t="s">
        <v>411</v>
      </c>
      <c r="C61" s="2" t="s">
        <v>412</v>
      </c>
      <c r="D61" s="2" t="n">
        <v>86</v>
      </c>
      <c r="E61" s="2" t="s">
        <v>495</v>
      </c>
      <c r="F61" s="5" t="n">
        <v>50.3042918562517</v>
      </c>
      <c r="G61" s="5" t="n">
        <v>0.8837</v>
      </c>
      <c r="H61" s="5" t="n">
        <v>8.24</v>
      </c>
      <c r="I61" s="5" t="n">
        <v>6.19</v>
      </c>
      <c r="J61" s="5" t="n">
        <v>0.1489</v>
      </c>
      <c r="K61" s="5" t="n">
        <v>16.3288707600412</v>
      </c>
      <c r="L61" s="5" t="n">
        <v>16.0381279445223</v>
      </c>
      <c r="M61" s="5" t="n">
        <v>1.35</v>
      </c>
      <c r="N61" s="5" t="n">
        <v>0.0038</v>
      </c>
      <c r="O61" s="5" t="n">
        <v>0.1062</v>
      </c>
      <c r="P61" s="5" t="n">
        <v>99.5938905608153</v>
      </c>
    </row>
    <row r="62" customFormat="false" ht="15" hidden="false" customHeight="false" outlineLevel="0" collapsed="false">
      <c r="A62" s="2" t="s">
        <v>86</v>
      </c>
      <c r="B62" s="2" t="s">
        <v>411</v>
      </c>
      <c r="C62" s="2" t="s">
        <v>414</v>
      </c>
      <c r="D62" s="2" t="n">
        <v>87</v>
      </c>
      <c r="E62" s="2" t="s">
        <v>496</v>
      </c>
      <c r="F62" s="5" t="n">
        <v>50.4854597741013</v>
      </c>
      <c r="G62" s="5" t="n">
        <v>0.8978</v>
      </c>
      <c r="H62" s="5" t="n">
        <v>8.15</v>
      </c>
      <c r="I62" s="5" t="n">
        <v>6.16</v>
      </c>
      <c r="J62" s="5" t="n">
        <v>0.1323</v>
      </c>
      <c r="K62" s="5" t="n">
        <v>16.0826573891118</v>
      </c>
      <c r="L62" s="5" t="n">
        <v>15.9137271907761</v>
      </c>
      <c r="M62" s="5" t="n">
        <v>1.36</v>
      </c>
      <c r="N62" s="5" t="n">
        <v>0.0053</v>
      </c>
      <c r="O62" s="5" t="n">
        <v>0.0945</v>
      </c>
      <c r="P62" s="5" t="n">
        <v>99.2817443539891</v>
      </c>
    </row>
    <row r="63" customFormat="false" ht="15" hidden="false" customHeight="false" outlineLevel="0" collapsed="false">
      <c r="A63" s="2" t="s">
        <v>86</v>
      </c>
      <c r="B63" s="2" t="s">
        <v>411</v>
      </c>
      <c r="C63" s="2" t="s">
        <v>416</v>
      </c>
      <c r="D63" s="2" t="n">
        <v>88</v>
      </c>
      <c r="E63" s="2" t="s">
        <v>497</v>
      </c>
      <c r="F63" s="5" t="n">
        <v>50.6364330389761</v>
      </c>
      <c r="G63" s="5" t="n">
        <v>0.9107</v>
      </c>
      <c r="H63" s="5" t="n">
        <v>8.24</v>
      </c>
      <c r="I63" s="5" t="n">
        <v>6.23</v>
      </c>
      <c r="J63" s="5" t="n">
        <v>0.1548</v>
      </c>
      <c r="K63" s="5" t="n">
        <v>16.2697795510182</v>
      </c>
      <c r="L63" s="5" t="n">
        <v>15.9807122120241</v>
      </c>
      <c r="M63" s="5" t="n">
        <v>1.3358</v>
      </c>
      <c r="N63" s="5" t="n">
        <v>0.0047</v>
      </c>
      <c r="O63" s="5" t="n">
        <v>0.1096</v>
      </c>
      <c r="P63" s="5" t="n">
        <v>99.8725248020183</v>
      </c>
    </row>
    <row r="64" customFormat="false" ht="15" hidden="false" customHeight="false" outlineLevel="0" collapsed="false">
      <c r="A64" s="2" t="s">
        <v>86</v>
      </c>
      <c r="B64" s="2" t="s">
        <v>411</v>
      </c>
      <c r="C64" s="2" t="s">
        <v>412</v>
      </c>
      <c r="D64" s="2" t="n">
        <v>161</v>
      </c>
      <c r="E64" s="2" t="s">
        <v>498</v>
      </c>
      <c r="F64" s="5" t="n">
        <v>49.0965057372541</v>
      </c>
      <c r="G64" s="5" t="n">
        <v>0.9025</v>
      </c>
      <c r="H64" s="5" t="n">
        <v>8.31</v>
      </c>
      <c r="I64" s="5" t="n">
        <v>6.13</v>
      </c>
      <c r="J64" s="5" t="n">
        <v>0.152</v>
      </c>
      <c r="K64" s="5" t="n">
        <v>16.5553870612963</v>
      </c>
      <c r="L64" s="5" t="n">
        <v>16.1625286982686</v>
      </c>
      <c r="M64" s="5" t="n">
        <v>1.3189</v>
      </c>
      <c r="N64" s="5" t="n">
        <v>0</v>
      </c>
      <c r="O64" s="5" t="n">
        <v>0.1028</v>
      </c>
      <c r="P64" s="5" t="n">
        <v>98.730621496819</v>
      </c>
    </row>
    <row r="65" customFormat="false" ht="15" hidden="false" customHeight="false" outlineLevel="0" collapsed="false">
      <c r="A65" s="2" t="s">
        <v>86</v>
      </c>
      <c r="B65" s="2" t="s">
        <v>411</v>
      </c>
      <c r="C65" s="2" t="s">
        <v>414</v>
      </c>
      <c r="D65" s="2" t="n">
        <v>162</v>
      </c>
      <c r="E65" s="2" t="s">
        <v>499</v>
      </c>
      <c r="F65" s="5" t="n">
        <v>50.4653300054514</v>
      </c>
      <c r="G65" s="5" t="n">
        <v>0.9238</v>
      </c>
      <c r="H65" s="5" t="n">
        <v>8.18</v>
      </c>
      <c r="I65" s="5" t="n">
        <v>6.23</v>
      </c>
      <c r="J65" s="5" t="n">
        <v>0.1337</v>
      </c>
      <c r="K65" s="5" t="n">
        <v>16.2796280858553</v>
      </c>
      <c r="L65" s="5" t="n">
        <v>16.1433901207692</v>
      </c>
      <c r="M65" s="5" t="n">
        <v>1.36</v>
      </c>
      <c r="N65" s="5" t="n">
        <v>0</v>
      </c>
      <c r="O65" s="5" t="n">
        <v>0.0942</v>
      </c>
      <c r="P65" s="5" t="n">
        <v>99.8100482120759</v>
      </c>
    </row>
    <row r="66" customFormat="false" ht="15" hidden="false" customHeight="false" outlineLevel="0" collapsed="false">
      <c r="A66" s="2" t="s">
        <v>86</v>
      </c>
      <c r="B66" s="2" t="s">
        <v>411</v>
      </c>
      <c r="C66" s="2" t="s">
        <v>416</v>
      </c>
      <c r="D66" s="2" t="n">
        <v>163</v>
      </c>
      <c r="E66" s="2" t="s">
        <v>500</v>
      </c>
      <c r="F66" s="5" t="n">
        <v>50.6062383860011</v>
      </c>
      <c r="G66" s="5" t="n">
        <v>0.9135</v>
      </c>
      <c r="H66" s="5" t="n">
        <v>8.22</v>
      </c>
      <c r="I66" s="5" t="n">
        <v>6.45</v>
      </c>
      <c r="J66" s="5" t="n">
        <v>0.1394</v>
      </c>
      <c r="K66" s="5" t="n">
        <v>16.1614456678092</v>
      </c>
      <c r="L66" s="5" t="n">
        <v>15.9520043457749</v>
      </c>
      <c r="M66" s="5" t="n">
        <v>1.3353</v>
      </c>
      <c r="N66" s="5" t="n">
        <v>0</v>
      </c>
      <c r="O66" s="5" t="n">
        <v>0.0814</v>
      </c>
      <c r="P66" s="5" t="n">
        <v>99.8592883995852</v>
      </c>
    </row>
    <row r="67" customFormat="false" ht="15" hidden="false" customHeight="false" outlineLevel="0" collapsed="false">
      <c r="A67" s="2" t="s">
        <v>86</v>
      </c>
      <c r="B67" s="2" t="s">
        <v>431</v>
      </c>
      <c r="C67" s="2" t="s">
        <v>448</v>
      </c>
      <c r="D67" s="2" t="n">
        <v>1</v>
      </c>
      <c r="E67" s="2" t="s">
        <v>501</v>
      </c>
      <c r="F67" s="5" t="n">
        <v>50.7370818822259</v>
      </c>
      <c r="G67" s="5" t="n">
        <v>0.52</v>
      </c>
      <c r="H67" s="5" t="n">
        <v>7.46</v>
      </c>
      <c r="I67" s="5" t="n">
        <v>4.7</v>
      </c>
      <c r="J67" s="5" t="n">
        <v>0.0941</v>
      </c>
      <c r="K67" s="5" t="n">
        <v>17.3925125224565</v>
      </c>
      <c r="L67" s="5" t="n">
        <v>17.0429032632424</v>
      </c>
      <c r="M67" s="5" t="n">
        <v>0.8917</v>
      </c>
      <c r="N67" s="5" t="n">
        <v>0.001</v>
      </c>
      <c r="O67" s="5" t="n">
        <v>0.8902</v>
      </c>
      <c r="P67" s="5" t="n">
        <v>99.7294976679247</v>
      </c>
    </row>
    <row r="68" customFormat="false" ht="15" hidden="false" customHeight="false" outlineLevel="0" collapsed="false">
      <c r="A68" s="2" t="s">
        <v>86</v>
      </c>
      <c r="B68" s="2" t="s">
        <v>431</v>
      </c>
      <c r="C68" s="2" t="s">
        <v>450</v>
      </c>
      <c r="D68" s="2" t="n">
        <v>2</v>
      </c>
      <c r="E68" s="2" t="s">
        <v>502</v>
      </c>
      <c r="F68" s="5" t="n">
        <v>50.4753948897764</v>
      </c>
      <c r="G68" s="5" t="n">
        <v>0.5208</v>
      </c>
      <c r="H68" s="5" t="n">
        <v>7.49</v>
      </c>
      <c r="I68" s="5" t="n">
        <v>4.57</v>
      </c>
      <c r="J68" s="5" t="n">
        <v>0.1278</v>
      </c>
      <c r="K68" s="5" t="n">
        <v>17.3728154527821</v>
      </c>
      <c r="L68" s="5" t="n">
        <v>16.9472103757453</v>
      </c>
      <c r="M68" s="5" t="n">
        <v>0.8647</v>
      </c>
      <c r="N68" s="5" t="n">
        <v>0</v>
      </c>
      <c r="O68" s="5" t="n">
        <v>0.9366</v>
      </c>
      <c r="P68" s="5" t="n">
        <v>99.3053207183037</v>
      </c>
    </row>
    <row r="69" customFormat="false" ht="15" hidden="false" customHeight="false" outlineLevel="0" collapsed="false">
      <c r="A69" s="2" t="s">
        <v>86</v>
      </c>
      <c r="B69" s="2" t="s">
        <v>431</v>
      </c>
      <c r="C69" s="2" t="s">
        <v>452</v>
      </c>
      <c r="D69" s="2" t="n">
        <v>3</v>
      </c>
      <c r="E69" s="2" t="s">
        <v>503</v>
      </c>
      <c r="F69" s="5" t="n">
        <v>50.7169521135759</v>
      </c>
      <c r="G69" s="5" t="n">
        <v>0.4966</v>
      </c>
      <c r="H69" s="5" t="n">
        <v>7.45</v>
      </c>
      <c r="I69" s="5" t="n">
        <v>4.63</v>
      </c>
      <c r="J69" s="5" t="n">
        <v>0.1242</v>
      </c>
      <c r="K69" s="5" t="n">
        <v>17.1856932908757</v>
      </c>
      <c r="L69" s="5" t="n">
        <v>16.8610867769978</v>
      </c>
      <c r="M69" s="5" t="n">
        <v>0.8543</v>
      </c>
      <c r="N69" s="5" t="n">
        <v>0.0023</v>
      </c>
      <c r="O69" s="5" t="n">
        <v>0.9218</v>
      </c>
      <c r="P69" s="5" t="n">
        <v>99.2429321814494</v>
      </c>
    </row>
    <row r="70" customFormat="false" ht="15" hidden="false" customHeight="false" outlineLevel="0" collapsed="false">
      <c r="A70" s="2" t="s">
        <v>86</v>
      </c>
      <c r="B70" s="2" t="s">
        <v>431</v>
      </c>
      <c r="C70" s="2" t="s">
        <v>448</v>
      </c>
      <c r="D70" s="2" t="n">
        <v>83</v>
      </c>
      <c r="E70" s="2" t="s">
        <v>504</v>
      </c>
      <c r="F70" s="5" t="n">
        <v>50.666627691951</v>
      </c>
      <c r="G70" s="5" t="n">
        <v>0.533</v>
      </c>
      <c r="H70" s="5" t="n">
        <v>7.4</v>
      </c>
      <c r="I70" s="5" t="n">
        <v>4.66</v>
      </c>
      <c r="J70" s="5" t="n">
        <v>0.121</v>
      </c>
      <c r="K70" s="5" t="n">
        <v>17.5697861495257</v>
      </c>
      <c r="L70" s="5" t="n">
        <v>17.023764685743</v>
      </c>
      <c r="M70" s="5" t="n">
        <v>0.8693</v>
      </c>
      <c r="N70" s="5" t="n">
        <v>0.0021</v>
      </c>
      <c r="O70" s="5" t="n">
        <v>0.9052</v>
      </c>
      <c r="P70" s="5" t="n">
        <v>99.7507785272196</v>
      </c>
    </row>
    <row r="71" customFormat="false" ht="15" hidden="false" customHeight="false" outlineLevel="0" collapsed="false">
      <c r="A71" s="2" t="s">
        <v>86</v>
      </c>
      <c r="B71" s="2" t="s">
        <v>431</v>
      </c>
      <c r="C71" s="2" t="s">
        <v>450</v>
      </c>
      <c r="D71" s="2" t="n">
        <v>84</v>
      </c>
      <c r="E71" s="2" t="s">
        <v>505</v>
      </c>
      <c r="F71" s="5" t="n">
        <v>50.5357841957263</v>
      </c>
      <c r="G71" s="5" t="n">
        <v>0.5045</v>
      </c>
      <c r="H71" s="5" t="n">
        <v>7.4</v>
      </c>
      <c r="I71" s="5" t="n">
        <v>4.72</v>
      </c>
      <c r="J71" s="5" t="n">
        <v>0.1158</v>
      </c>
      <c r="K71" s="5" t="n">
        <v>17.6190288237116</v>
      </c>
      <c r="L71" s="5" t="n">
        <v>17.0333339744927</v>
      </c>
      <c r="M71" s="5" t="n">
        <v>0.8691</v>
      </c>
      <c r="N71" s="5" t="n">
        <v>0</v>
      </c>
      <c r="O71" s="5" t="n">
        <v>0.8916</v>
      </c>
      <c r="P71" s="5" t="n">
        <v>99.6891469939305</v>
      </c>
    </row>
    <row r="72" customFormat="false" ht="15" hidden="false" customHeight="false" outlineLevel="0" collapsed="false">
      <c r="A72" s="2" t="s">
        <v>86</v>
      </c>
      <c r="B72" s="2" t="s">
        <v>431</v>
      </c>
      <c r="C72" s="2" t="s">
        <v>452</v>
      </c>
      <c r="D72" s="2" t="n">
        <v>85</v>
      </c>
      <c r="E72" s="2" t="s">
        <v>506</v>
      </c>
      <c r="F72" s="5" t="n">
        <v>50.5257193114013</v>
      </c>
      <c r="G72" s="5" t="n">
        <v>0.53</v>
      </c>
      <c r="H72" s="5" t="n">
        <v>7.48</v>
      </c>
      <c r="I72" s="5" t="n">
        <v>4.63</v>
      </c>
      <c r="J72" s="5" t="n">
        <v>0.1325</v>
      </c>
      <c r="K72" s="5" t="n">
        <v>17.2743301044103</v>
      </c>
      <c r="L72" s="5" t="n">
        <v>16.9089332207464</v>
      </c>
      <c r="M72" s="5" t="n">
        <v>0.8584</v>
      </c>
      <c r="N72" s="5" t="n">
        <v>0</v>
      </c>
      <c r="O72" s="5" t="n">
        <v>0.9</v>
      </c>
      <c r="P72" s="5" t="n">
        <v>99.239882636558</v>
      </c>
    </row>
    <row r="73" customFormat="false" ht="15" hidden="false" customHeight="false" outlineLevel="0" collapsed="false">
      <c r="A73" s="2" t="s">
        <v>86</v>
      </c>
      <c r="B73" s="2" t="s">
        <v>431</v>
      </c>
      <c r="C73" s="2" t="s">
        <v>448</v>
      </c>
      <c r="D73" s="2" t="n">
        <v>158</v>
      </c>
      <c r="E73" s="2" t="s">
        <v>507</v>
      </c>
      <c r="F73" s="5" t="n">
        <v>50.1835132443519</v>
      </c>
      <c r="G73" s="5" t="n">
        <v>0.4937</v>
      </c>
      <c r="H73" s="5" t="n">
        <v>7.38</v>
      </c>
      <c r="I73" s="5" t="n">
        <v>4.59</v>
      </c>
      <c r="J73" s="5" t="n">
        <v>0.1306</v>
      </c>
      <c r="K73" s="5" t="n">
        <v>17.313724243759</v>
      </c>
      <c r="L73" s="5" t="n">
        <v>16.9089332207464</v>
      </c>
      <c r="M73" s="5" t="n">
        <v>0.8788</v>
      </c>
      <c r="N73" s="5" t="n">
        <v>0.0027</v>
      </c>
      <c r="O73" s="5" t="n">
        <v>0.8865</v>
      </c>
      <c r="P73" s="5" t="n">
        <v>98.7684707088574</v>
      </c>
    </row>
    <row r="74" customFormat="false" ht="15" hidden="false" customHeight="false" outlineLevel="0" collapsed="false">
      <c r="A74" s="2" t="s">
        <v>86</v>
      </c>
      <c r="B74" s="2" t="s">
        <v>431</v>
      </c>
      <c r="C74" s="2" t="s">
        <v>450</v>
      </c>
      <c r="D74" s="2" t="n">
        <v>159</v>
      </c>
      <c r="E74" s="2" t="s">
        <v>508</v>
      </c>
      <c r="F74" s="5" t="n">
        <v>50.4653300054514</v>
      </c>
      <c r="G74" s="5" t="n">
        <v>0.5385</v>
      </c>
      <c r="H74" s="5" t="n">
        <v>7.4</v>
      </c>
      <c r="I74" s="5" t="n">
        <v>4.73</v>
      </c>
      <c r="J74" s="5" t="n">
        <v>0.0993</v>
      </c>
      <c r="K74" s="5" t="n">
        <v>17.3038757089219</v>
      </c>
      <c r="L74" s="5" t="n">
        <v>17.0333339744927</v>
      </c>
      <c r="M74" s="5" t="n">
        <v>0.8542</v>
      </c>
      <c r="N74" s="5" t="n">
        <v>0</v>
      </c>
      <c r="O74" s="5" t="n">
        <v>0.917</v>
      </c>
      <c r="P74" s="5" t="n">
        <v>99.3415396888659</v>
      </c>
    </row>
    <row r="75" customFormat="false" ht="15" hidden="false" customHeight="false" outlineLevel="0" collapsed="false">
      <c r="A75" s="2" t="s">
        <v>86</v>
      </c>
      <c r="B75" s="2" t="s">
        <v>431</v>
      </c>
      <c r="C75" s="2" t="s">
        <v>452</v>
      </c>
      <c r="D75" s="2" t="n">
        <v>160</v>
      </c>
      <c r="E75" s="2" t="s">
        <v>509</v>
      </c>
      <c r="F75" s="5" t="n">
        <v>50.8276658411507</v>
      </c>
      <c r="G75" s="5" t="n">
        <v>0.5104</v>
      </c>
      <c r="H75" s="5" t="n">
        <v>7.46</v>
      </c>
      <c r="I75" s="5" t="n">
        <v>4.69</v>
      </c>
      <c r="J75" s="5" t="n">
        <v>0.1336</v>
      </c>
      <c r="K75" s="5" t="n">
        <v>17.1561476863642</v>
      </c>
      <c r="L75" s="5" t="n">
        <v>16.9376410869956</v>
      </c>
      <c r="M75" s="5" t="n">
        <v>0.8549</v>
      </c>
      <c r="N75" s="5" t="n">
        <v>0.0015</v>
      </c>
      <c r="O75" s="5" t="n">
        <v>0.9074</v>
      </c>
      <c r="P75" s="5" t="n">
        <v>99.4792546145104</v>
      </c>
    </row>
    <row r="76" customFormat="false" ht="15" hidden="false" customHeight="false" outlineLevel="0" collapsed="false">
      <c r="A76" s="2" t="s">
        <v>86</v>
      </c>
      <c r="B76" s="2" t="s">
        <v>454</v>
      </c>
      <c r="C76" s="2" t="s">
        <v>455</v>
      </c>
      <c r="D76" s="2" t="n">
        <v>7</v>
      </c>
      <c r="E76" s="2" t="s">
        <v>510</v>
      </c>
      <c r="F76" s="5" t="n">
        <v>56.2224438393401</v>
      </c>
      <c r="G76" s="5" t="n">
        <v>0.0156</v>
      </c>
      <c r="H76" s="5" t="n">
        <v>0.0524</v>
      </c>
      <c r="I76" s="5" t="n">
        <v>0.1936</v>
      </c>
      <c r="J76" s="5" t="n">
        <v>0.0445</v>
      </c>
      <c r="K76" s="5" t="n">
        <v>18.2197894487794</v>
      </c>
      <c r="L76" s="5" t="n">
        <v>25.4447387854922</v>
      </c>
      <c r="M76" s="5" t="n">
        <v>0.0766</v>
      </c>
      <c r="N76" s="5" t="n">
        <v>0</v>
      </c>
      <c r="O76" s="5" t="n">
        <v>0</v>
      </c>
      <c r="P76" s="5" t="n">
        <v>100.269672073612</v>
      </c>
    </row>
    <row r="77" customFormat="false" ht="15" hidden="false" customHeight="false" outlineLevel="0" collapsed="false">
      <c r="A77" s="2" t="s">
        <v>86</v>
      </c>
      <c r="B77" s="2" t="s">
        <v>454</v>
      </c>
      <c r="C77" s="2" t="s">
        <v>457</v>
      </c>
      <c r="D77" s="2" t="n">
        <v>8</v>
      </c>
      <c r="E77" s="2" t="s">
        <v>511</v>
      </c>
      <c r="F77" s="5" t="n">
        <v>56.2325087236651</v>
      </c>
      <c r="G77" s="5" t="n">
        <v>0.0022</v>
      </c>
      <c r="H77" s="5" t="n">
        <v>0.0591</v>
      </c>
      <c r="I77" s="5" t="n">
        <v>0.204</v>
      </c>
      <c r="J77" s="5" t="n">
        <v>0.0394</v>
      </c>
      <c r="K77" s="5" t="n">
        <v>18.2099409139422</v>
      </c>
      <c r="L77" s="5" t="n">
        <v>25.4351694967425</v>
      </c>
      <c r="M77" s="5" t="n">
        <v>0.0838</v>
      </c>
      <c r="N77" s="5" t="n">
        <v>0</v>
      </c>
      <c r="O77" s="5" t="n">
        <v>0</v>
      </c>
      <c r="P77" s="5" t="n">
        <v>100.26611913435</v>
      </c>
    </row>
    <row r="78" customFormat="false" ht="15" hidden="false" customHeight="false" outlineLevel="0" collapsed="false">
      <c r="A78" s="2" t="s">
        <v>86</v>
      </c>
      <c r="B78" s="2" t="s">
        <v>454</v>
      </c>
      <c r="C78" s="2" t="s">
        <v>459</v>
      </c>
      <c r="D78" s="2" t="n">
        <v>9</v>
      </c>
      <c r="E78" s="2" t="s">
        <v>512</v>
      </c>
      <c r="F78" s="5" t="n">
        <v>56.1419247647403</v>
      </c>
      <c r="G78" s="5" t="n">
        <v>0.0095</v>
      </c>
      <c r="H78" s="5" t="n">
        <v>0.0419</v>
      </c>
      <c r="I78" s="5" t="n">
        <v>0.1737</v>
      </c>
      <c r="J78" s="5" t="n">
        <v>0.0148</v>
      </c>
      <c r="K78" s="5" t="n">
        <v>18.2197894487794</v>
      </c>
      <c r="L78" s="5" t="n">
        <v>25.5978474054876</v>
      </c>
      <c r="M78" s="5" t="n">
        <v>0.0787</v>
      </c>
      <c r="N78" s="5" t="n">
        <v>0.0016</v>
      </c>
      <c r="O78" s="5" t="n">
        <v>0.0109</v>
      </c>
      <c r="P78" s="5" t="n">
        <v>100.290661619007</v>
      </c>
    </row>
    <row r="79" customFormat="false" ht="15" hidden="false" customHeight="false" outlineLevel="0" collapsed="false">
      <c r="A79" s="2" t="s">
        <v>86</v>
      </c>
      <c r="B79" s="2" t="s">
        <v>454</v>
      </c>
      <c r="C79" s="2" t="s">
        <v>455</v>
      </c>
      <c r="D79" s="2" t="n">
        <v>89</v>
      </c>
      <c r="E79" s="2" t="s">
        <v>513</v>
      </c>
      <c r="F79" s="5" t="n">
        <v>55.7493942760661</v>
      </c>
      <c r="G79" s="5" t="n">
        <v>0.0274</v>
      </c>
      <c r="H79" s="5" t="n">
        <v>0.0404</v>
      </c>
      <c r="I79" s="5" t="n">
        <v>0.1613</v>
      </c>
      <c r="J79" s="5" t="n">
        <v>0.0396</v>
      </c>
      <c r="K79" s="5" t="n">
        <v>18.3182747971512</v>
      </c>
      <c r="L79" s="5" t="n">
        <v>25.6074166942373</v>
      </c>
      <c r="M79" s="5" t="n">
        <v>0.0725</v>
      </c>
      <c r="N79" s="5" t="n">
        <v>0</v>
      </c>
      <c r="O79" s="5" t="n">
        <v>0.0076</v>
      </c>
      <c r="P79" s="5" t="n">
        <v>100.023885767455</v>
      </c>
    </row>
    <row r="80" customFormat="false" ht="15" hidden="false" customHeight="false" outlineLevel="0" collapsed="false">
      <c r="A80" s="2" t="s">
        <v>86</v>
      </c>
      <c r="B80" s="2" t="s">
        <v>454</v>
      </c>
      <c r="C80" s="2" t="s">
        <v>457</v>
      </c>
      <c r="D80" s="2" t="n">
        <v>90</v>
      </c>
      <c r="E80" s="2" t="s">
        <v>514</v>
      </c>
      <c r="F80" s="5" t="n">
        <v>55.7191996230911</v>
      </c>
      <c r="G80" s="5" t="n">
        <v>0.0027</v>
      </c>
      <c r="H80" s="5" t="n">
        <v>0.0427</v>
      </c>
      <c r="I80" s="5" t="n">
        <v>0.1863</v>
      </c>
      <c r="J80" s="5" t="n">
        <v>0.0398</v>
      </c>
      <c r="K80" s="5" t="n">
        <v>18.3576689364999</v>
      </c>
      <c r="L80" s="5" t="n">
        <v>25.6169859829871</v>
      </c>
      <c r="M80" s="5" t="n">
        <v>0.0733</v>
      </c>
      <c r="N80" s="5" t="n">
        <v>0</v>
      </c>
      <c r="O80" s="5" t="n">
        <v>0</v>
      </c>
      <c r="P80" s="5" t="n">
        <v>100.038654542578</v>
      </c>
    </row>
    <row r="81" customFormat="false" ht="15" hidden="false" customHeight="false" outlineLevel="0" collapsed="false">
      <c r="A81" s="2" t="s">
        <v>86</v>
      </c>
      <c r="B81" s="2" t="s">
        <v>454</v>
      </c>
      <c r="C81" s="2" t="s">
        <v>459</v>
      </c>
      <c r="D81" s="2" t="n">
        <v>91</v>
      </c>
      <c r="E81" s="2" t="s">
        <v>515</v>
      </c>
      <c r="F81" s="5" t="n">
        <v>55.4172530933417</v>
      </c>
      <c r="G81" s="5" t="n">
        <v>0.0107</v>
      </c>
      <c r="H81" s="5" t="n">
        <v>0.0469</v>
      </c>
      <c r="I81" s="5" t="n">
        <v>0.1792</v>
      </c>
      <c r="J81" s="5" t="n">
        <v>0.0317</v>
      </c>
      <c r="K81" s="5" t="n">
        <v>18.308426262314</v>
      </c>
      <c r="L81" s="5" t="n">
        <v>25.483015940491</v>
      </c>
      <c r="M81" s="5" t="n">
        <v>0.0805</v>
      </c>
      <c r="N81" s="5" t="n">
        <v>0</v>
      </c>
      <c r="O81" s="5" t="n">
        <v>0.0003</v>
      </c>
      <c r="P81" s="5" t="n">
        <v>99.5579952961468</v>
      </c>
    </row>
    <row r="82" customFormat="false" ht="15" hidden="false" customHeight="false" outlineLevel="0" collapsed="false">
      <c r="A82" s="2" t="s">
        <v>86</v>
      </c>
      <c r="B82" s="2" t="s">
        <v>454</v>
      </c>
      <c r="C82" s="2" t="s">
        <v>455</v>
      </c>
      <c r="D82" s="2" t="n">
        <v>164</v>
      </c>
      <c r="E82" s="2" t="s">
        <v>516</v>
      </c>
      <c r="F82" s="5" t="n">
        <v>55.6990698544412</v>
      </c>
      <c r="G82" s="5" t="n">
        <v>0.0021</v>
      </c>
      <c r="H82" s="5" t="n">
        <v>0.0403</v>
      </c>
      <c r="I82" s="5" t="n">
        <v>0.2165</v>
      </c>
      <c r="J82" s="5" t="n">
        <v>0.0233</v>
      </c>
      <c r="K82" s="5" t="n">
        <v>18.4856998893832</v>
      </c>
      <c r="L82" s="5" t="n">
        <v>25.7126788704842</v>
      </c>
      <c r="M82" s="5" t="n">
        <v>0.0704</v>
      </c>
      <c r="N82" s="5" t="n">
        <v>0</v>
      </c>
      <c r="O82" s="5" t="n">
        <v>0.0139</v>
      </c>
      <c r="P82" s="5" t="n">
        <v>100.263948614309</v>
      </c>
    </row>
    <row r="83" customFormat="false" ht="15" hidden="false" customHeight="false" outlineLevel="0" collapsed="false">
      <c r="A83" s="2" t="s">
        <v>86</v>
      </c>
      <c r="B83" s="2" t="s">
        <v>454</v>
      </c>
      <c r="C83" s="2" t="s">
        <v>457</v>
      </c>
      <c r="D83" s="2" t="n">
        <v>165</v>
      </c>
      <c r="E83" s="2" t="s">
        <v>517</v>
      </c>
      <c r="F83" s="5" t="n">
        <v>55.6990698544412</v>
      </c>
      <c r="G83" s="5" t="n">
        <v>0.0147</v>
      </c>
      <c r="H83" s="5" t="n">
        <v>0.0555</v>
      </c>
      <c r="I83" s="5" t="n">
        <v>0.1833</v>
      </c>
      <c r="J83" s="5" t="n">
        <v>0.0226</v>
      </c>
      <c r="K83" s="5" t="n">
        <v>18.308426262314</v>
      </c>
      <c r="L83" s="5" t="n">
        <v>25.5787088279882</v>
      </c>
      <c r="M83" s="5" t="n">
        <v>0.0796</v>
      </c>
      <c r="N83" s="5" t="n">
        <v>0</v>
      </c>
      <c r="O83" s="5" t="n">
        <v>0.0104</v>
      </c>
      <c r="P83" s="5" t="n">
        <v>99.9523049447434</v>
      </c>
    </row>
    <row r="84" customFormat="false" ht="15" hidden="false" customHeight="false" outlineLevel="0" collapsed="false">
      <c r="A84" s="2" t="s">
        <v>86</v>
      </c>
      <c r="B84" s="2" t="s">
        <v>454</v>
      </c>
      <c r="C84" s="2" t="s">
        <v>459</v>
      </c>
      <c r="D84" s="2" t="n">
        <v>166</v>
      </c>
      <c r="E84" s="2" t="s">
        <v>518</v>
      </c>
      <c r="F84" s="5" t="n">
        <v>55.7393293917411</v>
      </c>
      <c r="G84" s="5" t="n">
        <v>0</v>
      </c>
      <c r="H84" s="5" t="n">
        <v>0.0494</v>
      </c>
      <c r="I84" s="5" t="n">
        <v>0.2124</v>
      </c>
      <c r="J84" s="5" t="n">
        <v>0.0353</v>
      </c>
      <c r="K84" s="5" t="n">
        <v>18.3379718668255</v>
      </c>
      <c r="L84" s="5" t="n">
        <v>25.6648324267356</v>
      </c>
      <c r="M84" s="5" t="n">
        <v>0.0732</v>
      </c>
      <c r="N84" s="5" t="n">
        <v>0</v>
      </c>
      <c r="O84" s="5" t="n">
        <v>0</v>
      </c>
      <c r="P84" s="5" t="n">
        <v>100.112433685302</v>
      </c>
    </row>
    <row r="85" customFormat="false" ht="15" hidden="false" customHeight="false" outlineLevel="0" collapsed="false">
      <c r="A85" s="2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customFormat="false" ht="15" hidden="false" customHeight="false" outlineLevel="0" collapsed="false">
      <c r="A86" s="2" t="s">
        <v>519</v>
      </c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customFormat="false" ht="15" hidden="false" customHeight="false" outlineLevel="0" collapsed="false">
      <c r="A87" s="6" t="s">
        <v>3</v>
      </c>
      <c r="B87" s="6" t="s">
        <v>398</v>
      </c>
      <c r="C87" s="6" t="s">
        <v>520</v>
      </c>
      <c r="D87" s="6" t="s">
        <v>521</v>
      </c>
      <c r="E87" s="2"/>
      <c r="F87" s="7" t="s">
        <v>401</v>
      </c>
      <c r="G87" s="7" t="s">
        <v>402</v>
      </c>
      <c r="H87" s="7" t="s">
        <v>403</v>
      </c>
      <c r="I87" s="7" t="s">
        <v>404</v>
      </c>
      <c r="J87" s="7" t="s">
        <v>405</v>
      </c>
      <c r="K87" s="7" t="s">
        <v>406</v>
      </c>
      <c r="L87" s="7" t="s">
        <v>407</v>
      </c>
      <c r="M87" s="7" t="s">
        <v>408</v>
      </c>
      <c r="N87" s="7" t="s">
        <v>409</v>
      </c>
      <c r="O87" s="7" t="s">
        <v>410</v>
      </c>
      <c r="P87" s="7" t="s">
        <v>20</v>
      </c>
    </row>
    <row r="88" customFormat="false" ht="15" hidden="false" customHeight="false" outlineLevel="0" collapsed="false">
      <c r="A88" s="2" t="s">
        <v>188</v>
      </c>
      <c r="B88" s="2" t="s">
        <v>411</v>
      </c>
      <c r="C88" s="2" t="s">
        <v>522</v>
      </c>
      <c r="D88" s="2" t="n">
        <v>11</v>
      </c>
      <c r="E88" s="2"/>
      <c r="F88" s="5" t="n">
        <f aca="false">IFERROR(AVERAGE(F3:F13),"")</f>
        <v>50.5111513577519</v>
      </c>
      <c r="G88" s="5" t="n">
        <f aca="false">IFERROR(AVERAGE(G3:G13),"")</f>
        <v>0.876345454545454</v>
      </c>
      <c r="H88" s="5" t="n">
        <f aca="false">IFERROR(AVERAGE(H3:H13),"")</f>
        <v>8.23272727272727</v>
      </c>
      <c r="I88" s="5" t="n">
        <f aca="false">IFERROR(AVERAGE(I3:I13),"")</f>
        <v>6.13636363636364</v>
      </c>
      <c r="J88" s="5" t="n">
        <f aca="false">IFERROR(AVERAGE(J3:J13),"")</f>
        <v>0.136763636363636</v>
      </c>
      <c r="K88" s="5" t="n">
        <f aca="false">IFERROR(AVERAGE(K3:K13),"")</f>
        <v>16.0616328215824</v>
      </c>
      <c r="L88" s="5" t="n">
        <f aca="false">IFERROR(AVERAGE(L3:L13),"")</f>
        <v>15.9588958849722</v>
      </c>
      <c r="M88" s="5" t="n">
        <f aca="false">IFERROR(AVERAGE(M3:M13),"")</f>
        <v>1.33162727272727</v>
      </c>
      <c r="N88" s="5" t="n">
        <f aca="false">IFERROR(AVERAGE(N3:N13),"")</f>
        <v>0.00188181818181818</v>
      </c>
      <c r="O88" s="5" t="n">
        <f aca="false">IFERROR(AVERAGE(O3:O13),"")</f>
        <v>0.127227272727273</v>
      </c>
      <c r="P88" s="5" t="n">
        <f aca="false">IFERROR(AVERAGE(P3:P13),"")</f>
        <v>99.3746164279429</v>
      </c>
    </row>
    <row r="89" customFormat="false" ht="15" hidden="false" customHeight="false" outlineLevel="0" collapsed="false">
      <c r="A89" s="2" t="s">
        <v>188</v>
      </c>
      <c r="B89" s="2" t="s">
        <v>411</v>
      </c>
      <c r="C89" s="2" t="s">
        <v>523</v>
      </c>
      <c r="D89" s="2" t="n">
        <v>11</v>
      </c>
      <c r="E89" s="2"/>
      <c r="F89" s="5" t="n">
        <f aca="false">IFERROR(STDEV(F3:F13),"")</f>
        <v>0.138130734691501</v>
      </c>
      <c r="G89" s="5" t="n">
        <f aca="false">IFERROR(STDEV(G3:G13),"")</f>
        <v>0.011699689195561</v>
      </c>
      <c r="H89" s="5" t="n">
        <f aca="false">IFERROR(STDEV(H3:H13),"")</f>
        <v>0.0360807175901225</v>
      </c>
      <c r="I89" s="5" t="n">
        <f aca="false">IFERROR(STDEV(I3:I13),"")</f>
        <v>0.109660633526597</v>
      </c>
      <c r="J89" s="5" t="n">
        <f aca="false">IFERROR(STDEV(J3:J13),"")</f>
        <v>0.0102087484764072</v>
      </c>
      <c r="K89" s="5" t="n">
        <f aca="false">IFERROR(STDEV(K3:K13),"")</f>
        <v>0.079235890937538</v>
      </c>
      <c r="L89" s="5" t="n">
        <f aca="false">IFERROR(STDEV(L3:L13),"")</f>
        <v>0.216245448634492</v>
      </c>
      <c r="M89" s="5" t="n">
        <f aca="false">IFERROR(STDEV(M3:M13),"")</f>
        <v>0.0174531424625534</v>
      </c>
      <c r="N89" s="5" t="n">
        <f aca="false">IFERROR(STDEV(N3:N13),"")</f>
        <v>0.00265473847367992</v>
      </c>
      <c r="O89" s="5" t="n">
        <f aca="false">IFERROR(STDEV(O3:O13),"")</f>
        <v>0.0249449029226049</v>
      </c>
      <c r="P89" s="5" t="n">
        <f aca="false">IFERROR(STDEV(P3:P13),"")</f>
        <v>0.294434098603483</v>
      </c>
    </row>
    <row r="90" customFormat="false" ht="15" hidden="false" customHeight="false" outlineLevel="0" collapsed="false">
      <c r="A90" s="2" t="s">
        <v>188</v>
      </c>
      <c r="B90" s="2" t="s">
        <v>411</v>
      </c>
      <c r="C90" s="2" t="s">
        <v>524</v>
      </c>
      <c r="D90" s="2" t="n">
        <v>11</v>
      </c>
      <c r="E90" s="2"/>
      <c r="F90" s="5" t="n">
        <f aca="false">IFERROR(F89/F88*100,"")</f>
        <v>0.27346582087027</v>
      </c>
      <c r="G90" s="5" t="n">
        <f aca="false">IFERROR(G89/G88*100,"")</f>
        <v>1.33505447365268</v>
      </c>
      <c r="H90" s="5" t="n">
        <f aca="false">IFERROR(H89/H88*100,"")</f>
        <v>0.438259599703343</v>
      </c>
      <c r="I90" s="5" t="n">
        <f aca="false">IFERROR(I89/I88*100,"")</f>
        <v>1.78706217598898</v>
      </c>
      <c r="J90" s="5" t="n">
        <f aca="false">IFERROR(J89/J88*100,"")</f>
        <v>7.46451962513153</v>
      </c>
      <c r="K90" s="5" t="n">
        <f aca="false">IFERROR(K89/K88*100,"")</f>
        <v>0.49332400894551</v>
      </c>
      <c r="L90" s="5" t="n">
        <f aca="false">IFERROR(L89/L88*100,"")</f>
        <v>1.35501509749256</v>
      </c>
      <c r="M90" s="5" t="n">
        <f aca="false">IFERROR(M89/M88*100,"")</f>
        <v>1.31066273723938</v>
      </c>
      <c r="N90" s="5" t="n">
        <f aca="false">IFERROR(N89/N88*100,"")</f>
        <v>141.073058987822</v>
      </c>
      <c r="O90" s="5" t="n">
        <f aca="false">IFERROR(O89/O88*100,"")</f>
        <v>19.6065689280924</v>
      </c>
      <c r="P90" s="5" t="n">
        <f aca="false">IFERROR(P89/P88*100,"")</f>
        <v>0.296287029009042</v>
      </c>
    </row>
    <row r="91" customFormat="false" ht="15" hidden="false" customHeight="false" outlineLevel="0" collapsed="false">
      <c r="A91" s="2" t="s">
        <v>188</v>
      </c>
      <c r="B91" s="2" t="s">
        <v>431</v>
      </c>
      <c r="C91" s="2" t="s">
        <v>522</v>
      </c>
      <c r="D91" s="2" t="n">
        <v>11</v>
      </c>
      <c r="E91" s="2"/>
      <c r="F91" s="5" t="n">
        <f aca="false">IFERROR(AVERAGE(F14:F24),"")</f>
        <v>50.636992924146</v>
      </c>
      <c r="G91" s="5" t="n">
        <f aca="false">IFERROR(AVERAGE(G14:G24),"")</f>
        <v>0.510427272727273</v>
      </c>
      <c r="H91" s="5" t="n">
        <f aca="false">IFERROR(AVERAGE(H14:H24),"")</f>
        <v>7.46363636363636</v>
      </c>
      <c r="I91" s="5" t="n">
        <f aca="false">IFERROR(AVERAGE(I14:I24),"")</f>
        <v>4.53363636363636</v>
      </c>
      <c r="J91" s="5" t="n">
        <f aca="false">IFERROR(AVERAGE(J14:J24),"")</f>
        <v>0.119081818181818</v>
      </c>
      <c r="K91" s="5" t="n">
        <f aca="false">IFERROR(AVERAGE(K14:K24),"")</f>
        <v>17.035964627251</v>
      </c>
      <c r="L91" s="5" t="n">
        <f aca="false">IFERROR(AVERAGE(L14:L24),"")</f>
        <v>17.0426918703693</v>
      </c>
      <c r="M91" s="5" t="n">
        <f aca="false">IFERROR(AVERAGE(M14:M24),"")</f>
        <v>0.851845454545455</v>
      </c>
      <c r="N91" s="5" t="n">
        <f aca="false">IFERROR(AVERAGE(N14:N24),"")</f>
        <v>0.000845454545454545</v>
      </c>
      <c r="O91" s="5" t="n">
        <f aca="false">IFERROR(AVERAGE(O14:O24),"")</f>
        <v>0.891790909090909</v>
      </c>
      <c r="P91" s="5" t="n">
        <f aca="false">IFERROR(AVERAGE(P14:P24),"")</f>
        <v>99.08691305813</v>
      </c>
    </row>
    <row r="92" customFormat="false" ht="15" hidden="false" customHeight="false" outlineLevel="0" collapsed="false">
      <c r="A92" s="2" t="s">
        <v>188</v>
      </c>
      <c r="B92" s="2" t="s">
        <v>431</v>
      </c>
      <c r="C92" s="2" t="s">
        <v>523</v>
      </c>
      <c r="D92" s="2" t="n">
        <v>11</v>
      </c>
      <c r="E92" s="2"/>
      <c r="F92" s="5" t="n">
        <f aca="false">IFERROR(STDEV(F14:F24),"")</f>
        <v>0.35781421923468</v>
      </c>
      <c r="G92" s="5" t="n">
        <f aca="false">IFERROR(STDEV(G14:G24),"")</f>
        <v>0.0113527169355261</v>
      </c>
      <c r="H92" s="5" t="n">
        <f aca="false">IFERROR(STDEV(H14:H24),"")</f>
        <v>0.0746019741391243</v>
      </c>
      <c r="I92" s="5" t="n">
        <f aca="false">IFERROR(STDEV(I14:I24),"")</f>
        <v>0.0964647839652095</v>
      </c>
      <c r="J92" s="5" t="n">
        <f aca="false">IFERROR(STDEV(J14:J24),"")</f>
        <v>0.00976850225795318</v>
      </c>
      <c r="K92" s="5" t="n">
        <f aca="false">IFERROR(STDEV(K14:K24),"")</f>
        <v>0.117341612395485</v>
      </c>
      <c r="L92" s="5" t="n">
        <f aca="false">IFERROR(STDEV(L14:L24),"")</f>
        <v>0.124858341879033</v>
      </c>
      <c r="M92" s="5" t="n">
        <f aca="false">IFERROR(STDEV(M14:M24),"")</f>
        <v>0.0127787607878357</v>
      </c>
      <c r="N92" s="5" t="n">
        <f aca="false">IFERROR(STDEV(N14:N24),"")</f>
        <v>0.001494900422345</v>
      </c>
      <c r="O92" s="5" t="n">
        <f aca="false">IFERROR(STDEV(O14:O24),"")</f>
        <v>0.0161466686685183</v>
      </c>
      <c r="P92" s="5" t="n">
        <f aca="false">IFERROR(STDEV(P14:P24),"")</f>
        <v>0.230955122658337</v>
      </c>
    </row>
    <row r="93" customFormat="false" ht="15" hidden="false" customHeight="false" outlineLevel="0" collapsed="false">
      <c r="A93" s="2" t="s">
        <v>188</v>
      </c>
      <c r="B93" s="2" t="s">
        <v>431</v>
      </c>
      <c r="C93" s="2" t="s">
        <v>524</v>
      </c>
      <c r="D93" s="2" t="n">
        <v>11</v>
      </c>
      <c r="E93" s="2"/>
      <c r="F93" s="5" t="n">
        <f aca="false">IFERROR(F92/F91*100,"")</f>
        <v>0.706626121678836</v>
      </c>
      <c r="G93" s="5" t="n">
        <f aca="false">IFERROR(G92/G91*100,"")</f>
        <v>2.22415955065787</v>
      </c>
      <c r="H93" s="5" t="n">
        <f aca="false">IFERROR(H92/H91*100,"")</f>
        <v>0.999539239379253</v>
      </c>
      <c r="I93" s="5" t="n">
        <f aca="false">IFERROR(I92/I91*100,"")</f>
        <v>2.12775741651755</v>
      </c>
      <c r="J93" s="5" t="n">
        <f aca="false">IFERROR(J92/J91*100,"")</f>
        <v>8.20318534525422</v>
      </c>
      <c r="K93" s="5" t="n">
        <f aca="false">IFERROR(K92/K91*100,"")</f>
        <v>0.688787602950191</v>
      </c>
      <c r="L93" s="5" t="n">
        <f aca="false">IFERROR(L92/L91*100,"")</f>
        <v>0.732621013327795</v>
      </c>
      <c r="M93" s="5" t="n">
        <f aca="false">IFERROR(M92/M91*100,"")</f>
        <v>1.50012666260624</v>
      </c>
      <c r="N93" s="5" t="n">
        <f aca="false">IFERROR(N92/N91*100,"")</f>
        <v>176.816178987044</v>
      </c>
      <c r="O93" s="5" t="n">
        <f aca="false">IFERROR(O92/O91*100,"")</f>
        <v>1.81058906341377</v>
      </c>
      <c r="P93" s="5" t="n">
        <f aca="false">IFERROR(P92/P91*100,"")</f>
        <v>0.233083376533131</v>
      </c>
    </row>
    <row r="94" customFormat="false" ht="15" hidden="false" customHeight="false" outlineLevel="0" collapsed="false">
      <c r="A94" s="2" t="s">
        <v>188</v>
      </c>
      <c r="B94" s="2" t="s">
        <v>454</v>
      </c>
      <c r="C94" s="2" t="s">
        <v>522</v>
      </c>
      <c r="D94" s="2" t="n">
        <v>6</v>
      </c>
      <c r="E94" s="2"/>
      <c r="F94" s="5" t="n">
        <f aca="false">IFERROR(AVERAGE(F25:F30),"")</f>
        <v>55.8788606046013</v>
      </c>
      <c r="G94" s="5" t="n">
        <f aca="false">IFERROR(AVERAGE(G25:G30),"")</f>
        <v>0.01655</v>
      </c>
      <c r="H94" s="5" t="n">
        <f aca="false">IFERROR(AVERAGE(H25:H30),"")</f>
        <v>0.123816666666667</v>
      </c>
      <c r="I94" s="5" t="n">
        <f aca="false">IFERROR(AVERAGE(I25:I30),"")</f>
        <v>0.207683333333333</v>
      </c>
      <c r="J94" s="5" t="n">
        <f aca="false">IFERROR(AVERAGE(J25:J30),"")</f>
        <v>0.0272333333333333</v>
      </c>
      <c r="K94" s="5" t="n">
        <f aca="false">IFERROR(AVERAGE(K25:K30),"")</f>
        <v>18.0916362595876</v>
      </c>
      <c r="L94" s="5" t="n">
        <f aca="false">IFERROR(AVERAGE(L25:L30),"")</f>
        <v>25.4426934432104</v>
      </c>
      <c r="M94" s="5" t="n">
        <f aca="false">IFERROR(AVERAGE(M25:M30),"")</f>
        <v>0.121116666666667</v>
      </c>
      <c r="N94" s="5" t="n">
        <f aca="false">IFERROR(AVERAGE(N25:N30),"")</f>
        <v>0.000266666666666667</v>
      </c>
      <c r="O94" s="5" t="n">
        <f aca="false">IFERROR(AVERAGE(O25:O30),"")</f>
        <v>0.00143333333333333</v>
      </c>
      <c r="P94" s="5" t="n">
        <f aca="false">IFERROR(AVERAGE(P25:P30),"")</f>
        <v>99.9112903073994</v>
      </c>
    </row>
    <row r="95" customFormat="false" ht="15" hidden="false" customHeight="false" outlineLevel="0" collapsed="false">
      <c r="A95" s="2" t="s">
        <v>188</v>
      </c>
      <c r="B95" s="2" t="s">
        <v>454</v>
      </c>
      <c r="C95" s="2" t="s">
        <v>523</v>
      </c>
      <c r="D95" s="2" t="n">
        <v>6</v>
      </c>
      <c r="E95" s="2"/>
      <c r="F95" s="5" t="n">
        <f aca="false">IFERROR(STDEV(F25:F30),"")</f>
        <v>0.301207428664907</v>
      </c>
      <c r="G95" s="5" t="n">
        <f aca="false">IFERROR(STDEV(G25:G30),"")</f>
        <v>0.0128419235319324</v>
      </c>
      <c r="H95" s="5" t="n">
        <f aca="false">IFERROR(STDEV(H25:H30),"")</f>
        <v>0.109632083199521</v>
      </c>
      <c r="I95" s="5" t="n">
        <f aca="false">IFERROR(STDEV(I25:I30),"")</f>
        <v>0.0231086491744253</v>
      </c>
      <c r="J95" s="5" t="n">
        <f aca="false">IFERROR(STDEV(J25:J30),"")</f>
        <v>0.0114088854261346</v>
      </c>
      <c r="K95" s="5" t="n">
        <f aca="false">IFERROR(STDEV(K25:K30),"")</f>
        <v>0.143659075246747</v>
      </c>
      <c r="L95" s="5" t="n">
        <f aca="false">IFERROR(STDEV(L25:L30),"")</f>
        <v>0.295625334135509</v>
      </c>
      <c r="M95" s="5" t="n">
        <f aca="false">IFERROR(STDEV(M25:M30),"")</f>
        <v>0.0590715300857077</v>
      </c>
      <c r="N95" s="5" t="n">
        <f aca="false">IFERROR(STDEV(N25:N30),"")</f>
        <v>0.000653197264742181</v>
      </c>
      <c r="O95" s="5" t="n">
        <f aca="false">IFERROR(STDEV(O25:O30),"")</f>
        <v>0.00289321044285871</v>
      </c>
      <c r="P95" s="5" t="n">
        <f aca="false">IFERROR(STDEV(P25:P30),"")</f>
        <v>0.12020049073064</v>
      </c>
    </row>
    <row r="96" customFormat="false" ht="15" hidden="false" customHeight="false" outlineLevel="0" collapsed="false">
      <c r="A96" s="2" t="s">
        <v>188</v>
      </c>
      <c r="B96" s="2" t="s">
        <v>454</v>
      </c>
      <c r="C96" s="2" t="s">
        <v>524</v>
      </c>
      <c r="D96" s="2" t="n">
        <v>6</v>
      </c>
      <c r="E96" s="2"/>
      <c r="F96" s="5" t="n">
        <f aca="false">IFERROR(F95/F94*100,"")</f>
        <v>0.539036453868038</v>
      </c>
      <c r="G96" s="5" t="n">
        <f aca="false">IFERROR(G95/G94*100,"")</f>
        <v>77.5947041204377</v>
      </c>
      <c r="H96" s="5" t="n">
        <f aca="false">IFERROR(H95/H94*100,"")</f>
        <v>88.5438819756529</v>
      </c>
      <c r="I96" s="5" t="n">
        <f aca="false">IFERROR(I95/I94*100,"")</f>
        <v>11.1268674301061</v>
      </c>
      <c r="J96" s="5" t="n">
        <f aca="false">IFERROR(J95/J94*100,"")</f>
        <v>41.8930921400292</v>
      </c>
      <c r="K96" s="5" t="n">
        <f aca="false">IFERROR(K95/K94*100,"")</f>
        <v>0.794063473228493</v>
      </c>
      <c r="L96" s="5" t="n">
        <f aca="false">IFERROR(L95/L94*100,"")</f>
        <v>1.16192625122557</v>
      </c>
      <c r="M96" s="5" t="n">
        <f aca="false">IFERROR(M95/M94*100,"")</f>
        <v>48.7724206019329</v>
      </c>
      <c r="N96" s="5" t="n">
        <f aca="false">IFERROR(N95/N94*100,"")</f>
        <v>244.948974278318</v>
      </c>
      <c r="O96" s="5" t="n">
        <f aca="false">IFERROR(O95/O94*100,"")</f>
        <v>201.851891362235</v>
      </c>
      <c r="P96" s="5" t="n">
        <f aca="false">IFERROR(P95/P94*100,"")</f>
        <v>0.120307214891146</v>
      </c>
    </row>
    <row r="97" customFormat="false" ht="15" hidden="false" customHeight="false" outlineLevel="0" collapsed="false">
      <c r="A97" s="2" t="s">
        <v>282</v>
      </c>
      <c r="B97" s="2" t="s">
        <v>411</v>
      </c>
      <c r="C97" s="2" t="s">
        <v>522</v>
      </c>
      <c r="D97" s="2" t="n">
        <v>8</v>
      </c>
      <c r="E97" s="2"/>
      <c r="F97" s="5" t="n">
        <f aca="false">IFERROR(AVERAGE(F31:F38),"")</f>
        <v>50.6298828192933</v>
      </c>
      <c r="G97" s="5" t="n">
        <f aca="false">IFERROR(AVERAGE(G31:G38),"")</f>
        <v>0.9034375</v>
      </c>
      <c r="H97" s="5" t="n">
        <f aca="false">IFERROR(AVERAGE(H31:H38),"")</f>
        <v>8.275</v>
      </c>
      <c r="I97" s="5" t="n">
        <f aca="false">IFERROR(AVERAGE(I31:I38),"")</f>
        <v>6.12625</v>
      </c>
      <c r="J97" s="5" t="n">
        <f aca="false">IFERROR(AVERAGE(J31:J38),"")</f>
        <v>0.1458125</v>
      </c>
      <c r="K97" s="5" t="n">
        <f aca="false">IFERROR(AVERAGE(K31:K38),"")</f>
        <v>16.2589452290565</v>
      </c>
      <c r="L97" s="5" t="n">
        <f aca="false">IFERROR(AVERAGE(L31:L38),"")</f>
        <v>16.0850123688928</v>
      </c>
      <c r="M97" s="5" t="n">
        <f aca="false">IFERROR(AVERAGE(M31:M38),"")</f>
        <v>1.352125</v>
      </c>
      <c r="N97" s="5" t="n">
        <f aca="false">IFERROR(AVERAGE(N31:N38),"")</f>
        <v>0.002525</v>
      </c>
      <c r="O97" s="5" t="n">
        <f aca="false">IFERROR(AVERAGE(O31:O38),"")</f>
        <v>0.1041875</v>
      </c>
      <c r="P97" s="5" t="n">
        <f aca="false">IFERROR(AVERAGE(P31:P38),"")</f>
        <v>99.8831779172426</v>
      </c>
    </row>
    <row r="98" customFormat="false" ht="15" hidden="false" customHeight="false" outlineLevel="0" collapsed="false">
      <c r="A98" s="2" t="s">
        <v>282</v>
      </c>
      <c r="B98" s="2" t="s">
        <v>411</v>
      </c>
      <c r="C98" s="2" t="s">
        <v>523</v>
      </c>
      <c r="D98" s="2" t="n">
        <v>8</v>
      </c>
      <c r="E98" s="2"/>
      <c r="F98" s="5" t="n">
        <f aca="false">IFERROR(STDEV(F31:F38),"")</f>
        <v>0.16381021015207</v>
      </c>
      <c r="G98" s="5" t="n">
        <f aca="false">IFERROR(STDEV(G31:G38),"")</f>
        <v>0.012898940986431</v>
      </c>
      <c r="H98" s="5" t="n">
        <f aca="false">IFERROR(STDEV(H31:H38),"")</f>
        <v>0.0392792202424786</v>
      </c>
      <c r="I98" s="5" t="n">
        <f aca="false">IFERROR(STDEV(I31:I38),"")</f>
        <v>0.0831414457415793</v>
      </c>
      <c r="J98" s="5" t="n">
        <f aca="false">IFERROR(STDEV(J31:J38),"")</f>
        <v>0.0158686967238739</v>
      </c>
      <c r="K98" s="5" t="n">
        <f aca="false">IFERROR(STDEV(K31:K38),"")</f>
        <v>0.0602127882166852</v>
      </c>
      <c r="L98" s="5" t="n">
        <f aca="false">IFERROR(STDEV(L31:L38),"")</f>
        <v>0.131207931032474</v>
      </c>
      <c r="M98" s="5" t="n">
        <f aca="false">IFERROR(STDEV(M31:M38),"")</f>
        <v>0.0133704097597216</v>
      </c>
      <c r="N98" s="5" t="n">
        <f aca="false">IFERROR(STDEV(N31:N38),"")</f>
        <v>0.00279834134546061</v>
      </c>
      <c r="O98" s="5" t="n">
        <f aca="false">IFERROR(STDEV(O31:O38),"")</f>
        <v>0.00713290914404094</v>
      </c>
      <c r="P98" s="5" t="n">
        <f aca="false">IFERROR(STDEV(P31:P38),"")</f>
        <v>0.265251466030905</v>
      </c>
    </row>
    <row r="99" customFormat="false" ht="15" hidden="false" customHeight="false" outlineLevel="0" collapsed="false">
      <c r="A99" s="2" t="s">
        <v>282</v>
      </c>
      <c r="B99" s="2" t="s">
        <v>411</v>
      </c>
      <c r="C99" s="2" t="s">
        <v>524</v>
      </c>
      <c r="D99" s="2" t="n">
        <v>8</v>
      </c>
      <c r="E99" s="2"/>
      <c r="F99" s="5" t="n">
        <f aca="false">IFERROR(F98/F97*100,"")</f>
        <v>0.323544517645314</v>
      </c>
      <c r="G99" s="5" t="n">
        <f aca="false">IFERROR(G98/G97*100,"")</f>
        <v>1.42776240596953</v>
      </c>
      <c r="H99" s="5" t="n">
        <f aca="false">IFERROR(H98/H97*100,"")</f>
        <v>0.474673356404575</v>
      </c>
      <c r="I99" s="5" t="n">
        <f aca="false">IFERROR(I98/I97*100,"")</f>
        <v>1.35713439284357</v>
      </c>
      <c r="J99" s="5" t="n">
        <f aca="false">IFERROR(J98/J97*100,"")</f>
        <v>10.8829467459058</v>
      </c>
      <c r="K99" s="5" t="n">
        <f aca="false">IFERROR(K98/K97*100,"")</f>
        <v>0.370336374029223</v>
      </c>
      <c r="L99" s="5" t="n">
        <f aca="false">IFERROR(L98/L97*100,"")</f>
        <v>0.815715450031113</v>
      </c>
      <c r="M99" s="5" t="n">
        <f aca="false">IFERROR(M98/M97*100,"")</f>
        <v>0.988844208909798</v>
      </c>
      <c r="N99" s="5" t="n">
        <f aca="false">IFERROR(N98/N97*100,"")</f>
        <v>110.825399820222</v>
      </c>
      <c r="O99" s="5" t="n">
        <f aca="false">IFERROR(O98/O97*100,"")</f>
        <v>6.84622353357259</v>
      </c>
      <c r="P99" s="5" t="n">
        <f aca="false">IFERROR(P98/P97*100,"")</f>
        <v>0.265561700740716</v>
      </c>
    </row>
    <row r="100" customFormat="false" ht="15" hidden="false" customHeight="false" outlineLevel="0" collapsed="false">
      <c r="A100" s="2" t="s">
        <v>282</v>
      </c>
      <c r="B100" s="2" t="s">
        <v>431</v>
      </c>
      <c r="C100" s="2" t="s">
        <v>522</v>
      </c>
      <c r="D100" s="2" t="n">
        <v>10</v>
      </c>
      <c r="E100" s="2"/>
      <c r="F100" s="5" t="n">
        <f aca="false">IFERROR(AVERAGE(F39:F48),"")</f>
        <v>50.4774617024676</v>
      </c>
      <c r="G100" s="5" t="n">
        <f aca="false">IFERROR(AVERAGE(G39:G48),"")</f>
        <v>0.54922</v>
      </c>
      <c r="H100" s="5" t="n">
        <f aca="false">IFERROR(AVERAGE(H39:H48),"")</f>
        <v>7.55</v>
      </c>
      <c r="I100" s="5" t="n">
        <f aca="false">IFERROR(AVERAGE(I39:I48),"")</f>
        <v>4.764</v>
      </c>
      <c r="J100" s="5" t="n">
        <f aca="false">IFERROR(AVERAGE(J39:J48),"")</f>
        <v>0.12388</v>
      </c>
      <c r="K100" s="5" t="n">
        <f aca="false">IFERROR(AVERAGE(K39:K48),"")</f>
        <v>17.2168083856956</v>
      </c>
      <c r="L100" s="5" t="n">
        <f aca="false">IFERROR(AVERAGE(L39:L48),"")</f>
        <v>16.8350396999603</v>
      </c>
      <c r="M100" s="5" t="n">
        <f aca="false">IFERROR(AVERAGE(M39:M48),"")</f>
        <v>0.90784</v>
      </c>
      <c r="N100" s="5" t="n">
        <f aca="false">IFERROR(AVERAGE(N39:N48),"")</f>
        <v>0.00174</v>
      </c>
      <c r="O100" s="5" t="n">
        <f aca="false">IFERROR(AVERAGE(O39:O48),"")</f>
        <v>0.81774</v>
      </c>
      <c r="P100" s="5" t="n">
        <f aca="false">IFERROR(AVERAGE(P39:P48),"")</f>
        <v>99.2437297881234</v>
      </c>
    </row>
    <row r="101" customFormat="false" ht="15" hidden="false" customHeight="false" outlineLevel="0" collapsed="false">
      <c r="A101" s="2" t="s">
        <v>282</v>
      </c>
      <c r="B101" s="2" t="s">
        <v>431</v>
      </c>
      <c r="C101" s="2" t="s">
        <v>523</v>
      </c>
      <c r="D101" s="2" t="n">
        <v>10</v>
      </c>
      <c r="E101" s="2"/>
      <c r="F101" s="5" t="n">
        <f aca="false">IFERROR(STDEV(F39:F48),"")</f>
        <v>0.219074693959522</v>
      </c>
      <c r="G101" s="5" t="n">
        <f aca="false">IFERROR(STDEV(G39:G48),"")</f>
        <v>0.116565172995863</v>
      </c>
      <c r="H101" s="5" t="n">
        <f aca="false">IFERROR(STDEV(H39:H48),"")</f>
        <v>0.245583206085252</v>
      </c>
      <c r="I101" s="5" t="n">
        <f aca="false">IFERROR(STDEV(I39:I48),"")</f>
        <v>0.485276553455175</v>
      </c>
      <c r="J101" s="5" t="n">
        <f aca="false">IFERROR(STDEV(J39:J48),"")</f>
        <v>0.0137471451581774</v>
      </c>
      <c r="K101" s="5" t="n">
        <f aca="false">IFERROR(STDEV(K39:K48),"")</f>
        <v>0.343896451696963</v>
      </c>
      <c r="L101" s="5" t="n">
        <f aca="false">IFERROR(STDEV(L39:L48),"")</f>
        <v>0.34591812931411</v>
      </c>
      <c r="M101" s="5" t="n">
        <f aca="false">IFERROR(STDEV(M39:M48),"")</f>
        <v>0.163575848529733</v>
      </c>
      <c r="N101" s="5" t="n">
        <f aca="false">IFERROR(STDEV(N39:N48),"")</f>
        <v>0.00213603994968883</v>
      </c>
      <c r="O101" s="5" t="n">
        <f aca="false">IFERROR(STDEV(O39:O48),"")</f>
        <v>0.249147088194014</v>
      </c>
      <c r="P101" s="5" t="n">
        <f aca="false">IFERROR(STDEV(P39:P48),"")</f>
        <v>0.247510929131664</v>
      </c>
    </row>
    <row r="102" customFormat="false" ht="15" hidden="false" customHeight="false" outlineLevel="0" collapsed="false">
      <c r="A102" s="2" t="s">
        <v>282</v>
      </c>
      <c r="B102" s="2" t="s">
        <v>431</v>
      </c>
      <c r="C102" s="2" t="s">
        <v>524</v>
      </c>
      <c r="D102" s="2" t="n">
        <v>10</v>
      </c>
      <c r="E102" s="2"/>
      <c r="F102" s="5" t="n">
        <f aca="false">IFERROR(F101/F100*100,"")</f>
        <v>0.434004972854672</v>
      </c>
      <c r="G102" s="5" t="n">
        <f aca="false">IFERROR(G101/G100*100,"")</f>
        <v>21.223766977871</v>
      </c>
      <c r="H102" s="5" t="n">
        <f aca="false">IFERROR(H101/H100*100,"")</f>
        <v>3.2527576964934</v>
      </c>
      <c r="I102" s="5" t="n">
        <f aca="false">IFERROR(I101/I100*100,"")</f>
        <v>10.1863256392774</v>
      </c>
      <c r="J102" s="5" t="n">
        <f aca="false">IFERROR(J101/J100*100,"")</f>
        <v>11.097146559717</v>
      </c>
      <c r="K102" s="5" t="n">
        <f aca="false">IFERROR(K101/K100*100,"")</f>
        <v>1.99744600737199</v>
      </c>
      <c r="L102" s="5" t="n">
        <f aca="false">IFERROR(L101/L100*100,"")</f>
        <v>2.05475089740909</v>
      </c>
      <c r="M102" s="5" t="n">
        <f aca="false">IFERROR(M101/M100*100,"")</f>
        <v>18.0181362938109</v>
      </c>
      <c r="N102" s="5" t="n">
        <f aca="false">IFERROR(N101/N100*100,"")</f>
        <v>122.760916648783</v>
      </c>
      <c r="O102" s="5" t="n">
        <f aca="false">IFERROR(O101/O100*100,"")</f>
        <v>30.4677633714889</v>
      </c>
      <c r="P102" s="5" t="n">
        <f aca="false">IFERROR(P101/P100*100,"")</f>
        <v>0.249397044689955</v>
      </c>
    </row>
    <row r="103" customFormat="false" ht="15" hidden="false" customHeight="false" outlineLevel="0" collapsed="false">
      <c r="A103" s="2" t="s">
        <v>282</v>
      </c>
      <c r="B103" s="2" t="s">
        <v>454</v>
      </c>
      <c r="C103" s="2" t="s">
        <v>522</v>
      </c>
      <c r="D103" s="2" t="n">
        <v>9</v>
      </c>
      <c r="E103" s="2"/>
      <c r="F103" s="5" t="n">
        <f aca="false">IFERROR(AVERAGE(F49:F57),"")</f>
        <v>55.9233968985271</v>
      </c>
      <c r="G103" s="5" t="n">
        <f aca="false">IFERROR(AVERAGE(G49:G57),"")</f>
        <v>0.00988888888888889</v>
      </c>
      <c r="H103" s="5" t="n">
        <f aca="false">IFERROR(AVERAGE(H49:H57),"")</f>
        <v>0.0449444444444445</v>
      </c>
      <c r="I103" s="5" t="n">
        <f aca="false">IFERROR(AVERAGE(I49:I57),"")</f>
        <v>0.1877</v>
      </c>
      <c r="J103" s="5" t="n">
        <f aca="false">IFERROR(AVERAGE(J49:J57),"")</f>
        <v>0.0341444444444445</v>
      </c>
      <c r="K103" s="5" t="n">
        <f aca="false">IFERROR(AVERAGE(K49:K57),"")</f>
        <v>18.341063193353</v>
      </c>
      <c r="L103" s="5" t="n">
        <f aca="false">IFERROR(AVERAGE(L49:L57),"")</f>
        <v>25.5648660123849</v>
      </c>
      <c r="M103" s="5" t="n">
        <f aca="false">IFERROR(AVERAGE(M49:M57),"")</f>
        <v>0.0764666666666667</v>
      </c>
      <c r="N103" s="5" t="n">
        <f aca="false">IFERROR(AVERAGE(N49:N57),"")</f>
        <v>0</v>
      </c>
      <c r="O103" s="5" t="n">
        <f aca="false">IFERROR(AVERAGE(O49:O57),"")</f>
        <v>0.00458888888888889</v>
      </c>
      <c r="P103" s="5" t="n">
        <f aca="false">IFERROR(AVERAGE(P49:P57),"")</f>
        <v>100.187059437598</v>
      </c>
    </row>
    <row r="104" customFormat="false" ht="15" hidden="false" customHeight="false" outlineLevel="0" collapsed="false">
      <c r="A104" s="2" t="s">
        <v>282</v>
      </c>
      <c r="B104" s="2" t="s">
        <v>454</v>
      </c>
      <c r="C104" s="2" t="s">
        <v>523</v>
      </c>
      <c r="D104" s="2" t="n">
        <v>9</v>
      </c>
      <c r="E104" s="2"/>
      <c r="F104" s="5" t="n">
        <f aca="false">IFERROR(STDEV(F49:F57),"")</f>
        <v>0.235728101201222</v>
      </c>
      <c r="G104" s="5" t="n">
        <f aca="false">IFERROR(STDEV(G49:G57),"")</f>
        <v>0.0103986110183577</v>
      </c>
      <c r="H104" s="5" t="n">
        <f aca="false">IFERROR(STDEV(H49:H57),"")</f>
        <v>0.00961445670736406</v>
      </c>
      <c r="I104" s="5" t="n">
        <f aca="false">IFERROR(STDEV(I49:I57),"")</f>
        <v>0.019277837015599</v>
      </c>
      <c r="J104" s="5" t="n">
        <f aca="false">IFERROR(STDEV(J49:J57),"")</f>
        <v>0.0103015910313785</v>
      </c>
      <c r="K104" s="5" t="n">
        <f aca="false">IFERROR(STDEV(K49:K57),"")</f>
        <v>0.0683995072404826</v>
      </c>
      <c r="L104" s="5" t="n">
        <f aca="false">IFERROR(STDEV(L49:L57),"")</f>
        <v>0.139455378935417</v>
      </c>
      <c r="M104" s="5" t="n">
        <f aca="false">IFERROR(STDEV(M49:M57),"")</f>
        <v>0.013162826444195</v>
      </c>
      <c r="N104" s="5" t="n">
        <f aca="false">IFERROR(STDEV(N49:N57),"")</f>
        <v>0</v>
      </c>
      <c r="O104" s="5" t="n">
        <f aca="false">IFERROR(STDEV(O49:O57),"")</f>
        <v>0.00498408578488685</v>
      </c>
      <c r="P104" s="5" t="n">
        <f aca="false">IFERROR(STDEV(P49:P57),"")</f>
        <v>0.165239495263983</v>
      </c>
    </row>
    <row r="105" customFormat="false" ht="15" hidden="false" customHeight="false" outlineLevel="0" collapsed="false">
      <c r="A105" s="2" t="s">
        <v>282</v>
      </c>
      <c r="B105" s="2" t="s">
        <v>454</v>
      </c>
      <c r="C105" s="2" t="s">
        <v>524</v>
      </c>
      <c r="D105" s="2" t="n">
        <v>9</v>
      </c>
      <c r="E105" s="2"/>
      <c r="F105" s="5" t="n">
        <f aca="false">IFERROR(F104/F103*100,"")</f>
        <v>0.421519639854765</v>
      </c>
      <c r="G105" s="5" t="n">
        <f aca="false">IFERROR(G104/G103*100,"")</f>
        <v>105.154493444067</v>
      </c>
      <c r="H105" s="5" t="n">
        <f aca="false">IFERROR(H104/H103*100,"")</f>
        <v>21.3918690645925</v>
      </c>
      <c r="I105" s="5" t="n">
        <f aca="false">IFERROR(I104/I103*100,"")</f>
        <v>10.2705578133186</v>
      </c>
      <c r="J105" s="5" t="n">
        <f aca="false">IFERROR(J104/J103*100,"")</f>
        <v>30.170621308951</v>
      </c>
      <c r="K105" s="5" t="n">
        <f aca="false">IFERROR(K104/K103*100,"")</f>
        <v>0.372930982895644</v>
      </c>
      <c r="L105" s="5" t="n">
        <f aca="false">IFERROR(L104/L103*100,"")</f>
        <v>0.545496224654017</v>
      </c>
      <c r="M105" s="5" t="n">
        <f aca="false">IFERROR(M104/M103*100,"")</f>
        <v>17.2138096480319</v>
      </c>
      <c r="N105" s="5" t="str">
        <f aca="false">IFERROR(N104/N103*100,"")</f>
        <v/>
      </c>
      <c r="O105" s="5" t="n">
        <f aca="false">IFERROR(O104/O103*100,"")</f>
        <v>108.612038895839</v>
      </c>
      <c r="P105" s="5" t="n">
        <f aca="false">IFERROR(P104/P103*100,"")</f>
        <v>0.164930976307277</v>
      </c>
    </row>
    <row r="106" customFormat="false" ht="15" hidden="false" customHeight="false" outlineLevel="0" collapsed="false">
      <c r="A106" s="2" t="s">
        <v>86</v>
      </c>
      <c r="B106" s="2" t="s">
        <v>411</v>
      </c>
      <c r="C106" s="2" t="s">
        <v>522</v>
      </c>
      <c r="D106" s="2" t="n">
        <v>9</v>
      </c>
      <c r="E106" s="2"/>
      <c r="F106" s="5" t="n">
        <f aca="false">IFERROR(AVERAGE(F58:F66),"")</f>
        <v>50.4452002368014</v>
      </c>
      <c r="G106" s="5" t="n">
        <f aca="false">IFERROR(AVERAGE(G58:G66),"")</f>
        <v>0.902622222222222</v>
      </c>
      <c r="H106" s="5" t="n">
        <f aca="false">IFERROR(AVERAGE(H58:H66),"")</f>
        <v>8.24444444444445</v>
      </c>
      <c r="I106" s="5" t="n">
        <f aca="false">IFERROR(AVERAGE(I58:I66),"")</f>
        <v>6.21555555555556</v>
      </c>
      <c r="J106" s="5" t="n">
        <f aca="false">IFERROR(AVERAGE(J58:J66),"")</f>
        <v>0.140177777777778</v>
      </c>
      <c r="K106" s="5" t="n">
        <f aca="false">IFERROR(AVERAGE(K58:K66),"")</f>
        <v>16.2664967060724</v>
      </c>
      <c r="L106" s="5" t="n">
        <f aca="false">IFERROR(AVERAGE(L58:L66),"")</f>
        <v>16.0243056385505</v>
      </c>
      <c r="M106" s="5" t="n">
        <f aca="false">IFERROR(AVERAGE(M58:M66),"")</f>
        <v>1.34728888888889</v>
      </c>
      <c r="N106" s="5" t="n">
        <f aca="false">IFERROR(AVERAGE(N58:N66),"")</f>
        <v>0.00177777777777778</v>
      </c>
      <c r="O106" s="5" t="n">
        <f aca="false">IFERROR(AVERAGE(O58:O66),"")</f>
        <v>0.0964777777777778</v>
      </c>
      <c r="P106" s="5" t="n">
        <f aca="false">IFERROR(AVERAGE(P58:P66),"")</f>
        <v>99.6843470258688</v>
      </c>
    </row>
    <row r="107" customFormat="false" ht="15" hidden="false" customHeight="false" outlineLevel="0" collapsed="false">
      <c r="A107" s="2" t="s">
        <v>86</v>
      </c>
      <c r="B107" s="2" t="s">
        <v>411</v>
      </c>
      <c r="C107" s="2" t="s">
        <v>523</v>
      </c>
      <c r="D107" s="2" t="n">
        <v>9</v>
      </c>
      <c r="E107" s="2"/>
      <c r="F107" s="5" t="n">
        <f aca="false">IFERROR(STDEV(F58:F66),"")</f>
        <v>0.535358189068364</v>
      </c>
      <c r="G107" s="5" t="n">
        <f aca="false">IFERROR(STDEV(G58:G66),"")</f>
        <v>0.0146258997823875</v>
      </c>
      <c r="H107" s="5" t="n">
        <f aca="false">IFERROR(STDEV(H58:H66),"")</f>
        <v>0.0545690184791497</v>
      </c>
      <c r="I107" s="5" t="n">
        <f aca="false">IFERROR(STDEV(I58:I66),"")</f>
        <v>0.0946191195149151</v>
      </c>
      <c r="J107" s="5" t="n">
        <f aca="false">IFERROR(STDEV(J58:J66),"")</f>
        <v>0.011033446625803</v>
      </c>
      <c r="K107" s="5" t="n">
        <f aca="false">IFERROR(STDEV(K58:K66),"")</f>
        <v>0.134045035420358</v>
      </c>
      <c r="L107" s="5" t="n">
        <f aca="false">IFERROR(STDEV(L58:L66),"")</f>
        <v>0.0843931941850479</v>
      </c>
      <c r="M107" s="5" t="n">
        <f aca="false">IFERROR(STDEV(M58:M66),"")</f>
        <v>0.0147400342981661</v>
      </c>
      <c r="N107" s="5" t="n">
        <f aca="false">IFERROR(STDEV(N58:N66),"")</f>
        <v>0.00226427569974251</v>
      </c>
      <c r="O107" s="5" t="n">
        <f aca="false">IFERROR(STDEV(O58:O66),"")</f>
        <v>0.00854923648312786</v>
      </c>
      <c r="P107" s="5" t="n">
        <f aca="false">IFERROR(STDEV(P58:P66),"")</f>
        <v>0.42918250747912</v>
      </c>
    </row>
    <row r="108" customFormat="false" ht="15" hidden="false" customHeight="false" outlineLevel="0" collapsed="false">
      <c r="A108" s="2" t="s">
        <v>86</v>
      </c>
      <c r="B108" s="2" t="s">
        <v>411</v>
      </c>
      <c r="C108" s="2" t="s">
        <v>524</v>
      </c>
      <c r="D108" s="2" t="n">
        <v>9</v>
      </c>
      <c r="E108" s="2"/>
      <c r="F108" s="5" t="n">
        <f aca="false">IFERROR(F107/F106*100,"")</f>
        <v>1.06126685305097</v>
      </c>
      <c r="G108" s="5" t="n">
        <f aca="false">IFERROR(G107/G106*100,"")</f>
        <v>1.62037887194702</v>
      </c>
      <c r="H108" s="5" t="n">
        <f aca="false">IFERROR(H107/H106*100,"")</f>
        <v>0.661888364302354</v>
      </c>
      <c r="I108" s="5" t="n">
        <f aca="false">IFERROR(I107/I106*100,"")</f>
        <v>1.52229545161644</v>
      </c>
      <c r="J108" s="5" t="n">
        <f aca="false">IFERROR(J107/J106*100,"")</f>
        <v>7.87103833483095</v>
      </c>
      <c r="K108" s="5" t="n">
        <f aca="false">IFERROR(K107/K106*100,"")</f>
        <v>0.824055958959605</v>
      </c>
      <c r="L108" s="5" t="n">
        <f aca="false">IFERROR(L107/L106*100,"")</f>
        <v>0.526657417105292</v>
      </c>
      <c r="M108" s="5" t="n">
        <f aca="false">IFERROR(M107/M106*100,"")</f>
        <v>1.09405149999583</v>
      </c>
      <c r="N108" s="5" t="n">
        <f aca="false">IFERROR(N107/N106*100,"")</f>
        <v>127.365508110516</v>
      </c>
      <c r="O108" s="5" t="n">
        <f aca="false">IFERROR(O107/O106*100,"")</f>
        <v>8.86135302869409</v>
      </c>
      <c r="P108" s="5" t="n">
        <f aca="false">IFERROR(P107/P106*100,"")</f>
        <v>0.43054152460641</v>
      </c>
    </row>
    <row r="109" customFormat="false" ht="15" hidden="false" customHeight="false" outlineLevel="0" collapsed="false">
      <c r="A109" s="2" t="s">
        <v>86</v>
      </c>
      <c r="B109" s="2" t="s">
        <v>431</v>
      </c>
      <c r="C109" s="2" t="s">
        <v>522</v>
      </c>
      <c r="D109" s="2" t="n">
        <v>9</v>
      </c>
      <c r="E109" s="2"/>
      <c r="F109" s="5" t="n">
        <f aca="false">IFERROR(AVERAGE(F67:F75),"")</f>
        <v>50.5704521306234</v>
      </c>
      <c r="G109" s="5" t="n">
        <f aca="false">IFERROR(AVERAGE(G67:G75),"")</f>
        <v>0.516388888888889</v>
      </c>
      <c r="H109" s="5" t="n">
        <f aca="false">IFERROR(AVERAGE(H67:H75),"")</f>
        <v>7.43555555555556</v>
      </c>
      <c r="I109" s="5" t="n">
        <f aca="false">IFERROR(AVERAGE(I67:I75),"")</f>
        <v>4.65777777777778</v>
      </c>
      <c r="J109" s="5" t="n">
        <f aca="false">IFERROR(AVERAGE(J67:J75),"")</f>
        <v>0.119877777777778</v>
      </c>
      <c r="K109" s="5" t="n">
        <f aca="false">IFERROR(AVERAGE(K67:K75),"")</f>
        <v>17.3542126647563</v>
      </c>
      <c r="L109" s="5" t="n">
        <f aca="false">IFERROR(AVERAGE(L67:L75),"")</f>
        <v>16.9663489532447</v>
      </c>
      <c r="M109" s="5" t="n">
        <f aca="false">IFERROR(AVERAGE(M67:M75),"")</f>
        <v>0.866155555555556</v>
      </c>
      <c r="N109" s="5" t="n">
        <f aca="false">IFERROR(AVERAGE(N67:N75),"")</f>
        <v>0.00106666666666667</v>
      </c>
      <c r="O109" s="5" t="n">
        <f aca="false">IFERROR(AVERAGE(O67:O75),"")</f>
        <v>0.906255555555556</v>
      </c>
      <c r="P109" s="5" t="n">
        <f aca="false">IFERROR(AVERAGE(P67:P75),"")</f>
        <v>99.3940915264022</v>
      </c>
    </row>
    <row r="110" customFormat="false" ht="15" hidden="false" customHeight="false" outlineLevel="0" collapsed="false">
      <c r="A110" s="2" t="s">
        <v>86</v>
      </c>
      <c r="B110" s="2" t="s">
        <v>431</v>
      </c>
      <c r="C110" s="2" t="s">
        <v>523</v>
      </c>
      <c r="D110" s="2" t="n">
        <v>9</v>
      </c>
      <c r="E110" s="2"/>
      <c r="F110" s="5" t="n">
        <f aca="false">IFERROR(STDEV(F67:F75),"")</f>
        <v>0.192888401471157</v>
      </c>
      <c r="G110" s="5" t="n">
        <f aca="false">IFERROR(STDEV(G67:G75),"")</f>
        <v>0.0160708932891458</v>
      </c>
      <c r="H110" s="5" t="n">
        <f aca="false">IFERROR(STDEV(H67:H75),"")</f>
        <v>0.0406543697255016</v>
      </c>
      <c r="I110" s="5" t="n">
        <f aca="false">IFERROR(STDEV(I67:I75),"")</f>
        <v>0.0567401484351641</v>
      </c>
      <c r="J110" s="5" t="n">
        <f aca="false">IFERROR(STDEV(J67:J75),"")</f>
        <v>0.0143607779888293</v>
      </c>
      <c r="K110" s="5" t="n">
        <f aca="false">IFERROR(STDEV(K67:K75),"")</f>
        <v>0.156762291402117</v>
      </c>
      <c r="L110" s="5" t="n">
        <f aca="false">IFERROR(STDEV(L67:L75),"")</f>
        <v>0.0680025734980579</v>
      </c>
      <c r="M110" s="5" t="n">
        <f aca="false">IFERROR(STDEV(M67:M75),"")</f>
        <v>0.0127642186512837</v>
      </c>
      <c r="N110" s="5" t="n">
        <f aca="false">IFERROR(STDEV(N67:N75),"")</f>
        <v>0.0011180339887499</v>
      </c>
      <c r="O110" s="5" t="n">
        <f aca="false">IFERROR(STDEV(O67:O75),"")</f>
        <v>0.0165161368902591</v>
      </c>
      <c r="P110" s="5" t="n">
        <f aca="false">IFERROR(STDEV(P67:P75),"")</f>
        <v>0.312791117488074</v>
      </c>
    </row>
    <row r="111" customFormat="false" ht="15" hidden="false" customHeight="false" outlineLevel="0" collapsed="false">
      <c r="A111" s="2" t="s">
        <v>86</v>
      </c>
      <c r="B111" s="2" t="s">
        <v>431</v>
      </c>
      <c r="C111" s="2" t="s">
        <v>524</v>
      </c>
      <c r="D111" s="2" t="n">
        <v>9</v>
      </c>
      <c r="E111" s="2"/>
      <c r="F111" s="5" t="n">
        <f aca="false">IFERROR(F110/F109*100,"")</f>
        <v>0.381425107635832</v>
      </c>
      <c r="G111" s="5" t="n">
        <f aca="false">IFERROR(G110/G109*100,"")</f>
        <v>3.11216868428859</v>
      </c>
      <c r="H111" s="5" t="n">
        <f aca="false">IFERROR(H110/H109*100,"")</f>
        <v>0.546756317288574</v>
      </c>
      <c r="I111" s="5" t="n">
        <f aca="false">IFERROR(I110/I109*100,"")</f>
        <v>1.21818066773969</v>
      </c>
      <c r="J111" s="5" t="n">
        <f aca="false">IFERROR(J110/J109*100,"")</f>
        <v>11.9795163499364</v>
      </c>
      <c r="K111" s="5" t="n">
        <f aca="false">IFERROR(K110/K109*100,"")</f>
        <v>0.903309729057755</v>
      </c>
      <c r="L111" s="5" t="n">
        <f aca="false">IFERROR(L110/L109*100,"")</f>
        <v>0.400808528018946</v>
      </c>
      <c r="M111" s="5" t="n">
        <f aca="false">IFERROR(M110/M109*100,"")</f>
        <v>1.47366354339166</v>
      </c>
      <c r="N111" s="5" t="n">
        <f aca="false">IFERROR(N110/N109*100,"")</f>
        <v>104.815686445303</v>
      </c>
      <c r="O111" s="5" t="n">
        <f aca="false">IFERROR(O110/O109*100,"")</f>
        <v>1.82245910538274</v>
      </c>
      <c r="P111" s="5" t="n">
        <f aca="false">IFERROR(P110/P109*100,"")</f>
        <v>0.314697898722669</v>
      </c>
    </row>
    <row r="112" customFormat="false" ht="15" hidden="false" customHeight="false" outlineLevel="0" collapsed="false">
      <c r="A112" s="2" t="s">
        <v>86</v>
      </c>
      <c r="B112" s="2" t="s">
        <v>454</v>
      </c>
      <c r="C112" s="2" t="s">
        <v>522</v>
      </c>
      <c r="D112" s="2" t="n">
        <v>9</v>
      </c>
      <c r="E112" s="2"/>
      <c r="F112" s="5" t="n">
        <f aca="false">IFERROR(AVERAGE(F76:F84),"")</f>
        <v>55.8466881578742</v>
      </c>
      <c r="G112" s="5" t="n">
        <f aca="false">IFERROR(AVERAGE(G76:G84),"")</f>
        <v>0.00943333333333333</v>
      </c>
      <c r="H112" s="5" t="n">
        <f aca="false">IFERROR(AVERAGE(H76:H84),"")</f>
        <v>0.0476222222222222</v>
      </c>
      <c r="I112" s="5" t="n">
        <f aca="false">IFERROR(AVERAGE(I76:I84),"")</f>
        <v>0.190033333333333</v>
      </c>
      <c r="J112" s="5" t="n">
        <f aca="false">IFERROR(AVERAGE(J76:J84),"")</f>
        <v>0.0323333333333333</v>
      </c>
      <c r="K112" s="5" t="n">
        <f aca="false">IFERROR(AVERAGE(K76:K84),"")</f>
        <v>18.3073319806654</v>
      </c>
      <c r="L112" s="5" t="n">
        <f aca="false">IFERROR(AVERAGE(L76:L84),"")</f>
        <v>25.5712660478495</v>
      </c>
      <c r="M112" s="5" t="n">
        <f aca="false">IFERROR(AVERAGE(M76:M84),"")</f>
        <v>0.0765111111111111</v>
      </c>
      <c r="N112" s="5" t="n">
        <f aca="false">IFERROR(AVERAGE(N76:N84),"")</f>
        <v>0.000177777777777778</v>
      </c>
      <c r="O112" s="5" t="n">
        <f aca="false">IFERROR(AVERAGE(O76:O84),"")</f>
        <v>0.00478888888888889</v>
      </c>
      <c r="P112" s="5" t="n">
        <f aca="false">IFERROR(AVERAGE(P76:P84),"")</f>
        <v>100.086186186389</v>
      </c>
    </row>
    <row r="113" customFormat="false" ht="15" hidden="false" customHeight="false" outlineLevel="0" collapsed="false">
      <c r="A113" s="2" t="s">
        <v>86</v>
      </c>
      <c r="B113" s="2" t="s">
        <v>454</v>
      </c>
      <c r="C113" s="2" t="s">
        <v>523</v>
      </c>
      <c r="D113" s="2" t="n">
        <v>9</v>
      </c>
      <c r="E113" s="2"/>
      <c r="F113" s="5" t="n">
        <f aca="false">IFERROR(STDEV(F76:F84),"")</f>
        <v>0.28338503565069</v>
      </c>
      <c r="G113" s="5" t="n">
        <f aca="false">IFERROR(STDEV(G76:G84),"")</f>
        <v>0.00887834444026588</v>
      </c>
      <c r="H113" s="5" t="n">
        <f aca="false">IFERROR(STDEV(H76:H84),"")</f>
        <v>0.00691967805930626</v>
      </c>
      <c r="I113" s="5" t="n">
        <f aca="false">IFERROR(STDEV(I76:I84),"")</f>
        <v>0.0182946713553428</v>
      </c>
      <c r="J113" s="5" t="n">
        <f aca="false">IFERROR(STDEV(J76:J84),"")</f>
        <v>0.00999674947170329</v>
      </c>
      <c r="K113" s="5" t="n">
        <f aca="false">IFERROR(STDEV(K76:K84),"")</f>
        <v>0.0867628033777627</v>
      </c>
      <c r="L113" s="5" t="n">
        <f aca="false">IFERROR(STDEV(L76:L84),"")</f>
        <v>0.0969735142373585</v>
      </c>
      <c r="M113" s="5" t="n">
        <f aca="false">IFERROR(STDEV(M76:M84),"")</f>
        <v>0.00444534713055247</v>
      </c>
      <c r="N113" s="5" t="n">
        <f aca="false">IFERROR(STDEV(N76:N84),"")</f>
        <v>0.000533333333333334</v>
      </c>
      <c r="O113" s="5" t="n">
        <f aca="false">IFERROR(STDEV(O76:O84),"")</f>
        <v>0.00582697272270182</v>
      </c>
      <c r="P113" s="5" t="n">
        <f aca="false">IFERROR(STDEV(P76:P84),"")</f>
        <v>0.23536990936011</v>
      </c>
    </row>
    <row r="114" customFormat="false" ht="15" hidden="false" customHeight="false" outlineLevel="0" collapsed="false">
      <c r="A114" s="2" t="s">
        <v>86</v>
      </c>
      <c r="B114" s="2" t="s">
        <v>454</v>
      </c>
      <c r="C114" s="2" t="s">
        <v>524</v>
      </c>
      <c r="D114" s="2" t="n">
        <v>9</v>
      </c>
      <c r="E114" s="2"/>
      <c r="F114" s="5" t="n">
        <f aca="false">IFERROR(F113/F112*100,"")</f>
        <v>0.507433914164404</v>
      </c>
      <c r="G114" s="5" t="n">
        <f aca="false">IFERROR(G113/G112*100,"")</f>
        <v>94.116725515186</v>
      </c>
      <c r="H114" s="5" t="n">
        <f aca="false">IFERROR(H113/H112*100,"")</f>
        <v>14.5303552341942</v>
      </c>
      <c r="I114" s="5" t="n">
        <f aca="false">IFERROR(I113/I112*100,"")</f>
        <v>9.62708543519178</v>
      </c>
      <c r="J114" s="5" t="n">
        <f aca="false">IFERROR(J113/J112*100,"")</f>
        <v>30.9177818712473</v>
      </c>
      <c r="K114" s="5" t="n">
        <f aca="false">IFERROR(K113/K112*100,"")</f>
        <v>0.473923799870969</v>
      </c>
      <c r="L114" s="5" t="n">
        <f aca="false">IFERROR(L113/L112*100,"")</f>
        <v>0.379228443581555</v>
      </c>
      <c r="M114" s="5" t="n">
        <f aca="false">IFERROR(M113/M112*100,"")</f>
        <v>5.81006740850599</v>
      </c>
      <c r="N114" s="5" t="n">
        <f aca="false">IFERROR(N113/N112*100,"")</f>
        <v>300</v>
      </c>
      <c r="O114" s="5" t="n">
        <f aca="false">IFERROR(O113/O112*100,"")</f>
        <v>121.676924603982</v>
      </c>
      <c r="P114" s="5" t="n">
        <f aca="false">IFERROR(P113/P112*100,"")</f>
        <v>0.235167227694923</v>
      </c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customFormat="false" ht="15" hidden="false" customHeight="false" outlineLevel="0" collapsed="false">
      <c r="A116" s="2" t="s">
        <v>525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526</v>
      </c>
      <c r="B1" s="1" t="s">
        <v>527</v>
      </c>
      <c r="C1" s="1" t="s">
        <v>528</v>
      </c>
    </row>
    <row r="2" customFormat="false" ht="15" hidden="false" customHeight="false" outlineLevel="0" collapsed="false">
      <c r="A2" s="2" t="s">
        <v>529</v>
      </c>
      <c r="B2" s="2" t="s">
        <v>0</v>
      </c>
      <c r="C2" s="2" t="s">
        <v>530</v>
      </c>
    </row>
    <row r="3" customFormat="false" ht="15" hidden="false" customHeight="false" outlineLevel="0" collapsed="false">
      <c r="A3" s="2" t="s">
        <v>529</v>
      </c>
      <c r="B3" s="2" t="s">
        <v>1</v>
      </c>
      <c r="C3" s="2" t="s">
        <v>531</v>
      </c>
    </row>
    <row r="4" customFormat="false" ht="15" hidden="false" customHeight="false" outlineLevel="0" collapsed="false">
      <c r="A4" s="2" t="s">
        <v>529</v>
      </c>
      <c r="B4" s="2" t="s">
        <v>2</v>
      </c>
      <c r="C4" s="2" t="s">
        <v>532</v>
      </c>
    </row>
    <row r="5" customFormat="false" ht="15" hidden="false" customHeight="false" outlineLevel="0" collapsed="false">
      <c r="A5" s="2" t="s">
        <v>529</v>
      </c>
      <c r="B5" s="2" t="s">
        <v>4</v>
      </c>
      <c r="C5" s="2" t="s">
        <v>533</v>
      </c>
    </row>
    <row r="6" customFormat="false" ht="15" hidden="false" customHeight="false" outlineLevel="0" collapsed="false">
      <c r="A6" s="2" t="s">
        <v>529</v>
      </c>
      <c r="B6" s="2" t="s">
        <v>5</v>
      </c>
      <c r="C6" s="2" t="s">
        <v>534</v>
      </c>
    </row>
    <row r="7" customFormat="false" ht="15" hidden="false" customHeight="false" outlineLevel="0" collapsed="false">
      <c r="A7" s="2" t="s">
        <v>529</v>
      </c>
      <c r="B7" s="2" t="s">
        <v>20</v>
      </c>
      <c r="C7" s="2" t="s">
        <v>535</v>
      </c>
    </row>
    <row r="8" customFormat="false" ht="15" hidden="false" customHeight="false" outlineLevel="0" collapsed="false">
      <c r="A8" s="2" t="s">
        <v>529</v>
      </c>
      <c r="B8" s="2" t="s">
        <v>3</v>
      </c>
      <c r="C8" s="2" t="s">
        <v>536</v>
      </c>
    </row>
    <row r="9" customFormat="false" ht="15" hidden="false" customHeight="false" outlineLevel="0" collapsed="false">
      <c r="A9" s="2" t="s">
        <v>529</v>
      </c>
      <c r="B9" s="2" t="s">
        <v>6</v>
      </c>
      <c r="C9" s="2" t="s">
        <v>537</v>
      </c>
    </row>
    <row r="10" customFormat="false" ht="15" hidden="false" customHeight="false" outlineLevel="0" collapsed="false">
      <c r="A10" s="2" t="s">
        <v>529</v>
      </c>
      <c r="B10" s="2" t="s">
        <v>7</v>
      </c>
      <c r="C10" s="2" t="s">
        <v>538</v>
      </c>
    </row>
    <row r="11" customFormat="false" ht="15" hidden="false" customHeight="false" outlineLevel="0" collapsed="false">
      <c r="A11" s="2" t="s">
        <v>529</v>
      </c>
      <c r="B11" s="2" t="s">
        <v>8</v>
      </c>
      <c r="C11" s="2" t="s">
        <v>539</v>
      </c>
    </row>
    <row r="12" customFormat="false" ht="15" hidden="false" customHeight="false" outlineLevel="0" collapsed="false">
      <c r="A12" s="2" t="s">
        <v>529</v>
      </c>
      <c r="B12" s="2" t="s">
        <v>9</v>
      </c>
      <c r="C12" s="2" t="s">
        <v>540</v>
      </c>
    </row>
    <row r="13" customFormat="false" ht="15" hidden="false" customHeight="false" outlineLevel="0" collapsed="false">
      <c r="A13" s="2" t="s">
        <v>529</v>
      </c>
      <c r="B13" s="2" t="s">
        <v>10</v>
      </c>
      <c r="C13" s="2" t="s">
        <v>541</v>
      </c>
    </row>
    <row r="14" customFormat="false" ht="15" hidden="false" customHeight="false" outlineLevel="0" collapsed="false">
      <c r="A14" s="2" t="s">
        <v>529</v>
      </c>
      <c r="B14" s="2" t="s">
        <v>11</v>
      </c>
      <c r="C14" s="2" t="s">
        <v>542</v>
      </c>
    </row>
    <row r="15" customFormat="false" ht="15" hidden="false" customHeight="false" outlineLevel="0" collapsed="false">
      <c r="A15" s="2" t="s">
        <v>529</v>
      </c>
      <c r="B15" s="2" t="s">
        <v>12</v>
      </c>
      <c r="C15" s="2" t="s">
        <v>543</v>
      </c>
    </row>
    <row r="16" customFormat="false" ht="15" hidden="false" customHeight="false" outlineLevel="0" collapsed="false">
      <c r="A16" s="2" t="s">
        <v>529</v>
      </c>
      <c r="B16" s="2" t="s">
        <v>14</v>
      </c>
      <c r="C16" s="2" t="s">
        <v>544</v>
      </c>
    </row>
    <row r="17" customFormat="false" ht="15" hidden="false" customHeight="false" outlineLevel="0" collapsed="false">
      <c r="A17" s="2" t="s">
        <v>529</v>
      </c>
      <c r="B17" s="2" t="s">
        <v>15</v>
      </c>
      <c r="C17" s="2" t="s">
        <v>545</v>
      </c>
    </row>
    <row r="18" customFormat="false" ht="15" hidden="false" customHeight="false" outlineLevel="0" collapsed="false">
      <c r="A18" s="2" t="s">
        <v>529</v>
      </c>
      <c r="B18" s="2" t="s">
        <v>16</v>
      </c>
      <c r="C18" s="2" t="s">
        <v>546</v>
      </c>
    </row>
    <row r="19" customFormat="false" ht="15" hidden="false" customHeight="false" outlineLevel="0" collapsed="false">
      <c r="A19" s="2" t="s">
        <v>529</v>
      </c>
      <c r="B19" s="2" t="s">
        <v>17</v>
      </c>
      <c r="C19" s="2" t="s">
        <v>547</v>
      </c>
    </row>
    <row r="20" customFormat="false" ht="15" hidden="false" customHeight="false" outlineLevel="0" collapsed="false">
      <c r="A20" s="2" t="s">
        <v>529</v>
      </c>
      <c r="B20" s="2" t="s">
        <v>18</v>
      </c>
      <c r="C20" s="2" t="s">
        <v>548</v>
      </c>
    </row>
    <row r="21" customFormat="false" ht="15" hidden="false" customHeight="false" outlineLevel="0" collapsed="false">
      <c r="A21" s="2" t="s">
        <v>529</v>
      </c>
      <c r="B21" s="2" t="s">
        <v>19</v>
      </c>
      <c r="C21" s="2" t="s">
        <v>549</v>
      </c>
    </row>
    <row r="22" customFormat="false" ht="15" hidden="false" customHeight="false" outlineLevel="0" collapsed="false">
      <c r="A22" s="2" t="s">
        <v>529</v>
      </c>
      <c r="B22" s="2" t="s">
        <v>13</v>
      </c>
      <c r="C22" s="2" t="s">
        <v>550</v>
      </c>
    </row>
    <row r="23" customFormat="false" ht="15" hidden="false" customHeight="false" outlineLevel="0" collapsed="false">
      <c r="A23" s="2" t="s">
        <v>529</v>
      </c>
      <c r="B23" s="2" t="s">
        <v>21</v>
      </c>
      <c r="C23" s="2" t="s">
        <v>551</v>
      </c>
    </row>
    <row r="24" customFormat="false" ht="15" hidden="false" customHeight="false" outlineLevel="0" collapsed="false">
      <c r="A24" s="2" t="s">
        <v>529</v>
      </c>
      <c r="B24" s="2" t="s">
        <v>552</v>
      </c>
      <c r="C24" s="2" t="s">
        <v>553</v>
      </c>
    </row>
    <row r="25" customFormat="false" ht="15" hidden="false" customHeight="false" outlineLevel="0" collapsed="false">
      <c r="A25" s="2" t="s">
        <v>529</v>
      </c>
      <c r="B25" s="2" t="s">
        <v>554</v>
      </c>
      <c r="C25" s="2" t="s">
        <v>555</v>
      </c>
    </row>
    <row r="26" customFormat="false" ht="15" hidden="false" customHeight="false" outlineLevel="0" collapsed="false">
      <c r="A26" s="2" t="s">
        <v>529</v>
      </c>
      <c r="B26" s="2" t="s">
        <v>35</v>
      </c>
      <c r="C26" s="2" t="s">
        <v>556</v>
      </c>
    </row>
    <row r="27" customFormat="false" ht="15" hidden="false" customHeight="false" outlineLevel="0" collapsed="false">
      <c r="A27" s="2" t="s">
        <v>529</v>
      </c>
      <c r="B27" s="2" t="s">
        <v>557</v>
      </c>
      <c r="C27" s="2" t="s">
        <v>558</v>
      </c>
    </row>
    <row r="28" customFormat="false" ht="15" hidden="false" customHeight="false" outlineLevel="0" collapsed="false">
      <c r="A28" s="2" t="s">
        <v>529</v>
      </c>
      <c r="B28" s="2" t="s">
        <v>559</v>
      </c>
      <c r="C28" s="2" t="s">
        <v>560</v>
      </c>
    </row>
    <row r="29" customFormat="false" ht="15" hidden="false" customHeight="false" outlineLevel="0" collapsed="false">
      <c r="A29" s="2" t="s">
        <v>529</v>
      </c>
      <c r="B29" s="2" t="s">
        <v>41</v>
      </c>
      <c r="C29" s="2" t="s">
        <v>561</v>
      </c>
    </row>
    <row r="30" customFormat="false" ht="15" hidden="false" customHeight="false" outlineLevel="0" collapsed="false">
      <c r="A30" s="2" t="s">
        <v>529</v>
      </c>
      <c r="B30" s="2" t="s">
        <v>562</v>
      </c>
      <c r="C30" s="2" t="s">
        <v>563</v>
      </c>
    </row>
    <row r="31" customFormat="false" ht="15" hidden="false" customHeight="false" outlineLevel="0" collapsed="false">
      <c r="A31" s="2" t="s">
        <v>529</v>
      </c>
      <c r="B31" s="2" t="s">
        <v>44</v>
      </c>
      <c r="C31" s="2" t="s">
        <v>564</v>
      </c>
    </row>
    <row r="32" customFormat="false" ht="15" hidden="false" customHeight="false" outlineLevel="0" collapsed="false">
      <c r="A32" s="2" t="s">
        <v>529</v>
      </c>
      <c r="B32" s="2" t="s">
        <v>565</v>
      </c>
      <c r="C32" s="2" t="s">
        <v>566</v>
      </c>
    </row>
    <row r="33" customFormat="false" ht="15" hidden="false" customHeight="false" outlineLevel="0" collapsed="false">
      <c r="A33" s="2" t="s">
        <v>529</v>
      </c>
      <c r="B33" s="2" t="s">
        <v>567</v>
      </c>
      <c r="C33" s="2" t="s">
        <v>568</v>
      </c>
    </row>
    <row r="34" customFormat="false" ht="15" hidden="false" customHeight="false" outlineLevel="0" collapsed="false">
      <c r="A34" s="2" t="s">
        <v>529</v>
      </c>
      <c r="B34" s="2" t="s">
        <v>569</v>
      </c>
      <c r="C34" s="2" t="s">
        <v>570</v>
      </c>
    </row>
    <row r="35" customFormat="false" ht="15" hidden="false" customHeight="false" outlineLevel="0" collapsed="false">
      <c r="A35" s="2" t="s">
        <v>529</v>
      </c>
      <c r="B35" s="2" t="s">
        <v>571</v>
      </c>
      <c r="C35" s="2" t="s">
        <v>572</v>
      </c>
    </row>
    <row r="36" customFormat="false" ht="15" hidden="false" customHeight="false" outlineLevel="0" collapsed="false">
      <c r="A36" s="2" t="s">
        <v>529</v>
      </c>
      <c r="B36" s="2" t="s">
        <v>573</v>
      </c>
      <c r="C36" s="2" t="s">
        <v>574</v>
      </c>
    </row>
    <row r="37" customFormat="false" ht="15" hidden="false" customHeight="false" outlineLevel="0" collapsed="false">
      <c r="A37" s="2" t="s">
        <v>529</v>
      </c>
      <c r="B37" s="2" t="s">
        <v>56</v>
      </c>
      <c r="C37" s="2" t="s">
        <v>575</v>
      </c>
    </row>
    <row r="38" customFormat="false" ht="15" hidden="false" customHeight="false" outlineLevel="0" collapsed="false">
      <c r="A38" s="2" t="s">
        <v>529</v>
      </c>
      <c r="B38" s="2" t="s">
        <v>57</v>
      </c>
      <c r="C38" s="2" t="s">
        <v>576</v>
      </c>
    </row>
    <row r="39" customFormat="false" ht="15" hidden="false" customHeight="false" outlineLevel="0" collapsed="false">
      <c r="A39" s="2" t="s">
        <v>529</v>
      </c>
      <c r="B39" s="2" t="s">
        <v>577</v>
      </c>
      <c r="C39" s="2" t="s">
        <v>578</v>
      </c>
    </row>
    <row r="40" customFormat="false" ht="15" hidden="false" customHeight="false" outlineLevel="0" collapsed="false">
      <c r="A40" s="2" t="s">
        <v>529</v>
      </c>
      <c r="B40" s="2" t="s">
        <v>579</v>
      </c>
      <c r="C40" s="2" t="s">
        <v>580</v>
      </c>
    </row>
    <row r="41" customFormat="false" ht="15" hidden="false" customHeight="false" outlineLevel="0" collapsed="false">
      <c r="A41" s="2" t="s">
        <v>529</v>
      </c>
      <c r="B41" s="2" t="s">
        <v>581</v>
      </c>
      <c r="C41" s="2" t="s">
        <v>582</v>
      </c>
    </row>
    <row r="42" customFormat="false" ht="15" hidden="false" customHeight="false" outlineLevel="0" collapsed="false">
      <c r="A42" s="2" t="s">
        <v>529</v>
      </c>
      <c r="B42" s="2" t="s">
        <v>583</v>
      </c>
      <c r="C42" s="2" t="s">
        <v>584</v>
      </c>
    </row>
    <row r="43" customFormat="false" ht="15" hidden="false" customHeight="false" outlineLevel="0" collapsed="false">
      <c r="A43" s="2" t="s">
        <v>529</v>
      </c>
      <c r="B43" s="2" t="s">
        <v>585</v>
      </c>
      <c r="C43" s="2" t="s">
        <v>586</v>
      </c>
    </row>
    <row r="44" customFormat="false" ht="15" hidden="false" customHeight="false" outlineLevel="0" collapsed="false">
      <c r="A44" s="2" t="s">
        <v>529</v>
      </c>
      <c r="B44" s="2" t="s">
        <v>73</v>
      </c>
      <c r="C44" s="2" t="s">
        <v>587</v>
      </c>
    </row>
    <row r="45" customFormat="false" ht="15" hidden="false" customHeight="false" outlineLevel="0" collapsed="false">
      <c r="A45" s="2" t="s">
        <v>529</v>
      </c>
      <c r="B45" s="2" t="s">
        <v>74</v>
      </c>
      <c r="C45" s="2" t="s">
        <v>588</v>
      </c>
    </row>
    <row r="46" customFormat="false" ht="15" hidden="false" customHeight="false" outlineLevel="0" collapsed="false">
      <c r="A46" s="2" t="s">
        <v>529</v>
      </c>
      <c r="B46" s="2" t="s">
        <v>75</v>
      </c>
      <c r="C46" s="2" t="s">
        <v>589</v>
      </c>
    </row>
    <row r="47" customFormat="false" ht="15" hidden="false" customHeight="false" outlineLevel="0" collapsed="false">
      <c r="A47" s="2" t="s">
        <v>529</v>
      </c>
      <c r="B47" s="2" t="s">
        <v>76</v>
      </c>
      <c r="C47" s="2" t="s">
        <v>590</v>
      </c>
    </row>
    <row r="48" customFormat="false" ht="15" hidden="false" customHeight="false" outlineLevel="0" collapsed="false">
      <c r="A48" s="2" t="s">
        <v>529</v>
      </c>
      <c r="B48" s="2" t="s">
        <v>77</v>
      </c>
      <c r="C48" s="2" t="s">
        <v>591</v>
      </c>
    </row>
    <row r="49" customFormat="false" ht="15" hidden="false" customHeight="false" outlineLevel="0" collapsed="false">
      <c r="A49" s="2" t="s">
        <v>529</v>
      </c>
      <c r="B49" s="2" t="s">
        <v>78</v>
      </c>
      <c r="C49" s="2" t="s">
        <v>592</v>
      </c>
    </row>
    <row r="50" customFormat="false" ht="15" hidden="false" customHeight="false" outlineLevel="0" collapsed="false">
      <c r="A50" s="2" t="s">
        <v>529</v>
      </c>
      <c r="B50" s="2" t="s">
        <v>79</v>
      </c>
      <c r="C50" s="2" t="s">
        <v>593</v>
      </c>
    </row>
    <row r="51" customFormat="false" ht="15" hidden="false" customHeight="false" outlineLevel="0" collapsed="false">
      <c r="A51" s="2" t="s">
        <v>529</v>
      </c>
      <c r="B51" s="2" t="s">
        <v>80</v>
      </c>
      <c r="C51" s="2" t="s">
        <v>594</v>
      </c>
    </row>
    <row r="52" customFormat="false" ht="15" hidden="false" customHeight="false" outlineLevel="0" collapsed="false">
      <c r="A52" s="2" t="s">
        <v>529</v>
      </c>
      <c r="B52" s="2" t="s">
        <v>81</v>
      </c>
      <c r="C52" s="2" t="s">
        <v>595</v>
      </c>
    </row>
    <row r="53" customFormat="false" ht="15" hidden="false" customHeight="false" outlineLevel="0" collapsed="false">
      <c r="A53" s="2" t="s">
        <v>529</v>
      </c>
      <c r="B53" s="2" t="s">
        <v>82</v>
      </c>
      <c r="C53" s="2" t="s">
        <v>596</v>
      </c>
    </row>
    <row r="54" customFormat="false" ht="15" hidden="false" customHeight="false" outlineLevel="0" collapsed="false">
      <c r="A54" s="2" t="s">
        <v>529</v>
      </c>
      <c r="B54" s="2" t="s">
        <v>83</v>
      </c>
      <c r="C54" s="2" t="s">
        <v>597</v>
      </c>
    </row>
    <row r="55" customFormat="false" ht="15" hidden="false" customHeight="false" outlineLevel="0" collapsed="false">
      <c r="A55" s="2" t="s">
        <v>598</v>
      </c>
      <c r="B55" s="2" t="s">
        <v>599</v>
      </c>
      <c r="C55" s="2" t="s">
        <v>600</v>
      </c>
    </row>
    <row r="56" customFormat="false" ht="15" hidden="false" customHeight="false" outlineLevel="0" collapsed="false">
      <c r="A56" s="2" t="s">
        <v>598</v>
      </c>
      <c r="B56" s="2" t="s">
        <v>386</v>
      </c>
      <c r="C56" s="2" t="s">
        <v>601</v>
      </c>
    </row>
    <row r="57" customFormat="false" ht="15" hidden="false" customHeight="false" outlineLevel="0" collapsed="false">
      <c r="A57" s="2" t="s">
        <v>598</v>
      </c>
      <c r="B57" s="2" t="s">
        <v>387</v>
      </c>
      <c r="C57" s="2" t="s">
        <v>602</v>
      </c>
    </row>
    <row r="58" customFormat="false" ht="15" hidden="false" customHeight="false" outlineLevel="0" collapsed="false">
      <c r="A58" s="2" t="s">
        <v>598</v>
      </c>
      <c r="B58" s="2" t="s">
        <v>388</v>
      </c>
      <c r="C58" s="2" t="s">
        <v>603</v>
      </c>
    </row>
    <row r="59" customFormat="false" ht="15" hidden="false" customHeight="false" outlineLevel="0" collapsed="false">
      <c r="A59" s="2" t="s">
        <v>598</v>
      </c>
      <c r="B59" s="2" t="s">
        <v>389</v>
      </c>
      <c r="C59" s="2" t="s">
        <v>604</v>
      </c>
    </row>
    <row r="60" customFormat="false" ht="15" hidden="false" customHeight="false" outlineLevel="0" collapsed="false">
      <c r="A60" s="2" t="s">
        <v>598</v>
      </c>
      <c r="B60" s="2" t="s">
        <v>390</v>
      </c>
      <c r="C60" s="2" t="s">
        <v>605</v>
      </c>
    </row>
    <row r="61" customFormat="false" ht="15" hidden="false" customHeight="false" outlineLevel="0" collapsed="false">
      <c r="A61" s="2" t="s">
        <v>598</v>
      </c>
      <c r="B61" s="2" t="s">
        <v>391</v>
      </c>
      <c r="C61" s="2" t="s">
        <v>606</v>
      </c>
    </row>
    <row r="62" customFormat="false" ht="15" hidden="false" customHeight="false" outlineLevel="0" collapsed="false">
      <c r="A62" s="2" t="s">
        <v>598</v>
      </c>
      <c r="B62" s="2" t="s">
        <v>392</v>
      </c>
      <c r="C62" s="2" t="s">
        <v>607</v>
      </c>
    </row>
    <row r="63" customFormat="false" ht="15" hidden="false" customHeight="false" outlineLevel="0" collapsed="false">
      <c r="A63" s="2" t="s">
        <v>598</v>
      </c>
      <c r="B63" s="2" t="s">
        <v>393</v>
      </c>
      <c r="C63" s="2" t="s">
        <v>608</v>
      </c>
    </row>
    <row r="64" customFormat="false" ht="15" hidden="false" customHeight="false" outlineLevel="0" collapsed="false">
      <c r="A64" s="2" t="s">
        <v>598</v>
      </c>
      <c r="B64" s="2" t="s">
        <v>394</v>
      </c>
      <c r="C64" s="2" t="s">
        <v>609</v>
      </c>
    </row>
    <row r="65" customFormat="false" ht="15" hidden="false" customHeight="false" outlineLevel="0" collapsed="false">
      <c r="A65" s="2" t="s">
        <v>598</v>
      </c>
      <c r="B65" s="2" t="s">
        <v>395</v>
      </c>
      <c r="C65" s="2" t="s">
        <v>610</v>
      </c>
    </row>
    <row r="66" customFormat="false" ht="15" hidden="false" customHeight="false" outlineLevel="0" collapsed="false">
      <c r="A66" s="2" t="s">
        <v>611</v>
      </c>
      <c r="B66" s="2" t="s">
        <v>3</v>
      </c>
      <c r="C66" s="2" t="s">
        <v>612</v>
      </c>
    </row>
    <row r="67" customFormat="false" ht="15" hidden="false" customHeight="false" outlineLevel="0" collapsed="false">
      <c r="A67" s="2" t="s">
        <v>611</v>
      </c>
      <c r="B67" s="2" t="s">
        <v>398</v>
      </c>
      <c r="C67" s="2" t="s">
        <v>613</v>
      </c>
    </row>
    <row r="68" customFormat="false" ht="15" hidden="false" customHeight="false" outlineLevel="0" collapsed="false">
      <c r="A68" s="2" t="s">
        <v>611</v>
      </c>
      <c r="B68" s="2" t="s">
        <v>614</v>
      </c>
      <c r="C68" s="2" t="s">
        <v>615</v>
      </c>
    </row>
    <row r="69" customFormat="false" ht="15" hidden="false" customHeight="false" outlineLevel="0" collapsed="false">
      <c r="A69" s="2" t="s">
        <v>611</v>
      </c>
      <c r="B69" s="2" t="s">
        <v>616</v>
      </c>
      <c r="C69" s="2" t="s">
        <v>617</v>
      </c>
    </row>
    <row r="70" customFormat="false" ht="15" hidden="false" customHeight="false" outlineLevel="0" collapsed="false">
      <c r="A70" s="2" t="s">
        <v>611</v>
      </c>
      <c r="B70" s="2" t="s">
        <v>618</v>
      </c>
      <c r="C70" s="2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2026-08-27T18:04:34Z</dcterms:created>
  <dc:creator>openpyxl</dc:creator>
  <dc:description/>
  <dc:language>en-US</dc:language>
  <cp:lastModifiedBy/>
  <dcterms:modified xsi:type="dcterms:W3CDTF">2026-08-27T18:04:35Z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